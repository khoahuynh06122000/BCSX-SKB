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oder\_file-le\"/>
    </mc:Choice>
  </mc:AlternateContent>
  <xr:revisionPtr revIDLastSave="0" documentId="13_ncr:1_{9928E4F5-5F66-48CA-AAC2-9793059BACFF}" xr6:coauthVersionLast="47" xr6:coauthVersionMax="47" xr10:uidLastSave="{00000000-0000-0000-0000-000000000000}"/>
  <bookViews>
    <workbookView xWindow="-120" yWindow="-120" windowWidth="29040" windowHeight="15720" tabRatio="920" xr2:uid="{00000000-000D-0000-FFFF-FFFF00000000}"/>
  </bookViews>
  <sheets>
    <sheet name="T9.2025 (10)" sheetId="155" r:id="rId1"/>
  </sheets>
  <definedNames>
    <definedName name="_xlnm._FilterDatabase" localSheetId="0" hidden="1">'T9.2025 (10)'!$A$5:$DL$45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H8" i="155" l="1"/>
  <c r="CH9" i="155"/>
  <c r="CH10" i="155"/>
  <c r="CH11" i="155"/>
  <c r="CH12" i="155"/>
  <c r="CH13" i="155"/>
  <c r="CH14" i="155"/>
  <c r="CH15" i="155"/>
  <c r="CH16" i="155"/>
  <c r="CH17" i="155"/>
  <c r="CH18" i="155"/>
  <c r="CH19" i="155"/>
  <c r="CH20" i="155"/>
  <c r="CH21" i="155"/>
  <c r="CH22" i="155"/>
  <c r="CH23" i="155"/>
  <c r="CH24" i="155"/>
  <c r="CH25" i="155"/>
  <c r="CH26" i="155"/>
  <c r="CH27" i="155"/>
  <c r="CH28" i="155"/>
  <c r="CH29" i="155"/>
  <c r="CH30" i="155"/>
  <c r="CH31" i="155"/>
  <c r="CH32" i="155"/>
  <c r="CH33" i="155"/>
  <c r="CH34" i="155"/>
  <c r="CH35" i="155"/>
  <c r="CH36" i="155"/>
  <c r="CH37" i="155"/>
  <c r="CH38" i="155"/>
  <c r="CH39" i="155"/>
  <c r="CH40" i="155"/>
  <c r="CH41" i="155"/>
  <c r="CH42" i="155"/>
  <c r="CH43" i="155"/>
  <c r="CH44" i="155"/>
  <c r="CH45" i="155"/>
  <c r="AB8" i="155"/>
  <c r="AB9" i="155"/>
  <c r="AB10" i="155"/>
  <c r="AB11" i="155"/>
  <c r="AB12" i="155"/>
  <c r="AB13" i="155"/>
  <c r="AB14" i="155"/>
  <c r="AB15" i="155"/>
  <c r="AB16" i="155"/>
  <c r="AB17" i="155"/>
  <c r="AB18" i="155"/>
  <c r="AB19" i="155"/>
  <c r="AB20" i="155"/>
  <c r="AB21" i="155"/>
  <c r="AB22" i="155"/>
  <c r="AB23" i="155"/>
  <c r="AB24" i="155"/>
  <c r="AB25" i="155"/>
  <c r="AB26" i="155"/>
  <c r="AB27" i="155"/>
  <c r="AB28" i="155"/>
  <c r="AB29" i="155"/>
  <c r="AB30" i="155"/>
  <c r="AB31" i="155"/>
  <c r="AB32" i="155"/>
  <c r="AB33" i="155"/>
  <c r="AB34" i="155"/>
  <c r="AB35" i="155"/>
  <c r="AB36" i="155"/>
  <c r="AB37" i="155"/>
  <c r="AB38" i="155"/>
  <c r="AB39" i="155"/>
  <c r="AB40" i="155"/>
  <c r="AB41" i="155"/>
  <c r="AB42" i="155"/>
  <c r="AB43" i="155"/>
  <c r="AB44" i="155"/>
  <c r="AB45" i="155"/>
  <c r="W8" i="155"/>
  <c r="W9" i="155"/>
  <c r="W10" i="155"/>
  <c r="W11" i="155"/>
  <c r="W12" i="155"/>
  <c r="W13" i="155"/>
  <c r="W14" i="155"/>
  <c r="W15" i="155"/>
  <c r="W16" i="155"/>
  <c r="W17" i="155"/>
  <c r="W18" i="155"/>
  <c r="W19" i="155"/>
  <c r="W20" i="155"/>
  <c r="W21" i="155"/>
  <c r="W22" i="155"/>
  <c r="W23" i="155"/>
  <c r="W24" i="155"/>
  <c r="W25" i="155"/>
  <c r="W26" i="155"/>
  <c r="W27" i="155"/>
  <c r="W28" i="155"/>
  <c r="W29" i="155"/>
  <c r="W30" i="155"/>
  <c r="W31" i="155"/>
  <c r="W32" i="155"/>
  <c r="W33" i="155"/>
  <c r="W34" i="155"/>
  <c r="W35" i="155"/>
  <c r="W36" i="155"/>
  <c r="W37" i="155"/>
  <c r="W38" i="155"/>
  <c r="W39" i="155"/>
  <c r="W40" i="155"/>
  <c r="W41" i="155"/>
  <c r="W42" i="155"/>
  <c r="W43" i="155"/>
  <c r="W44" i="155"/>
  <c r="W45" i="155"/>
  <c r="U45" i="155"/>
  <c r="V45" i="155" s="1"/>
  <c r="U41" i="155"/>
  <c r="V41" i="155" s="1"/>
  <c r="U36" i="155"/>
  <c r="V36" i="155" s="1"/>
  <c r="U29" i="155"/>
  <c r="V29" i="155" s="1"/>
  <c r="U25" i="155"/>
  <c r="V25" i="155" s="1"/>
  <c r="U21" i="155"/>
  <c r="V21" i="155" s="1"/>
  <c r="U16" i="155"/>
  <c r="V16" i="155" s="1"/>
  <c r="B16" i="155"/>
  <c r="B17" i="155"/>
  <c r="B18" i="155"/>
  <c r="B19" i="155"/>
  <c r="B20" i="155"/>
  <c r="B21" i="155"/>
  <c r="B22" i="155"/>
  <c r="B23" i="155"/>
  <c r="B24" i="155"/>
  <c r="B25" i="155"/>
  <c r="B26" i="155"/>
  <c r="B27" i="155"/>
  <c r="B28" i="155"/>
  <c r="B29" i="155"/>
  <c r="B30" i="155"/>
  <c r="B31" i="155"/>
  <c r="B32" i="155"/>
  <c r="B33" i="155"/>
  <c r="B34" i="155"/>
  <c r="B35" i="155"/>
  <c r="B36" i="155"/>
  <c r="B37" i="155"/>
  <c r="B38" i="155"/>
  <c r="B39" i="155"/>
  <c r="B40" i="155"/>
  <c r="B41" i="155"/>
  <c r="B42" i="155"/>
  <c r="B43" i="155"/>
  <c r="B44" i="155"/>
  <c r="B45" i="155"/>
  <c r="B15" i="155" l="1"/>
  <c r="B14" i="155"/>
  <c r="B13" i="155"/>
  <c r="B12" i="155" l="1"/>
  <c r="B11" i="155"/>
  <c r="B10" i="155"/>
  <c r="B9" i="155"/>
  <c r="B8" i="155"/>
  <c r="CH7" i="155"/>
  <c r="AB7" i="155"/>
  <c r="W7" i="155"/>
  <c r="B7" i="155"/>
  <c r="CH6" i="155"/>
  <c r="AB6" i="155"/>
  <c r="W6" i="155"/>
  <c r="B6" i="15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ABEO</author>
    <author>Siva Kumar</author>
  </authors>
  <commentList>
    <comment ref="I3" authorId="0" shapeId="0" xr:uid="{3F34E38C-A655-4077-8075-EB99910CB40E}">
      <text>
        <r>
          <rPr>
            <b/>
            <sz val="9"/>
            <color indexed="81"/>
            <rFont val="Tahoma"/>
            <family val="2"/>
          </rPr>
          <t>ABEO:</t>
        </r>
        <r>
          <rPr>
            <sz val="9"/>
            <color indexed="81"/>
            <rFont val="Tahoma"/>
            <family val="2"/>
          </rPr>
          <t xml:space="preserve">
TTEXT: Use for Input VAT</t>
        </r>
      </text>
    </comment>
    <comment ref="J3" authorId="0" shapeId="0" xr:uid="{4FB9AD20-B57D-44DA-905E-1B35DA311EE9}">
      <text>
        <r>
          <rPr>
            <b/>
            <sz val="9"/>
            <color indexed="81"/>
            <rFont val="Tahoma"/>
            <family val="2"/>
          </rPr>
          <t>ABEO:</t>
        </r>
        <r>
          <rPr>
            <sz val="9"/>
            <color indexed="81"/>
            <rFont val="Tahoma"/>
            <family val="2"/>
          </rPr>
          <t xml:space="preserve">
Use for VAT input</t>
        </r>
      </text>
    </comment>
    <comment ref="L3" authorId="0" shapeId="0" xr:uid="{CDFD743E-4D11-4554-9C99-E0958592B591}">
      <text>
        <r>
          <rPr>
            <b/>
            <sz val="9"/>
            <color indexed="81"/>
            <rFont val="Tahoma"/>
            <family val="2"/>
          </rPr>
          <t>ABEO:</t>
        </r>
        <r>
          <rPr>
            <sz val="9"/>
            <color indexed="81"/>
            <rFont val="Tahoma"/>
            <family val="2"/>
          </rPr>
          <t xml:space="preserve">
Use for VAT input</t>
        </r>
      </text>
    </comment>
    <comment ref="M3" authorId="0" shapeId="0" xr:uid="{3B1148FF-939A-4440-99FF-A8519B47A17D}">
      <text>
        <r>
          <rPr>
            <b/>
            <sz val="9"/>
            <color indexed="81"/>
            <rFont val="Tahoma"/>
            <family val="2"/>
          </rPr>
          <t>ABEO:</t>
        </r>
        <r>
          <rPr>
            <sz val="9"/>
            <color indexed="81"/>
            <rFont val="Tahoma"/>
            <family val="2"/>
          </rPr>
          <t xml:space="preserve">
Use for VAT Input</t>
        </r>
      </text>
    </comment>
    <comment ref="C5" authorId="1" shapeId="0" xr:uid="{09ACC0F3-DC25-45D6-BD1D-8735B41E29CB}">
      <text>
        <r>
          <rPr>
            <b/>
            <sz val="9"/>
            <color indexed="81"/>
            <rFont val="Tahoma"/>
            <family val="2"/>
          </rPr>
          <t>Allowed Document Type:
DR - Invoice / Debit Note
DG - Credit Note
DZ - Incoming Payment</t>
        </r>
      </text>
    </comment>
    <comment ref="N5" authorId="1" shapeId="0" xr:uid="{4EA79149-A5F9-42BF-BDFF-F84855045D71}">
      <text>
        <r>
          <rPr>
            <b/>
            <sz val="9"/>
            <color indexed="81"/>
            <rFont val="Tahoma"/>
            <family val="2"/>
          </rPr>
          <t xml:space="preserve">
Posting Key for 1st  Line
01 – Debit AR Invoice 
11 – Credit AR Credit Note
15 – Credit Incoming Payment
19 – Credit AR Special GL
Posting Key for subsequent line
40 – Debit GL
50 – Credit GL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5" authorId="1" shapeId="0" xr:uid="{C576A18D-E09C-4B4A-AECD-93B43CE75654}">
      <text>
        <r>
          <rPr>
            <b/>
            <u/>
            <sz val="9"/>
            <color indexed="81"/>
            <rFont val="Tahoma"/>
            <family val="2"/>
          </rPr>
          <t>Account Depends on Posting Key</t>
        </r>
        <r>
          <rPr>
            <b/>
            <sz val="9"/>
            <color indexed="81"/>
            <rFont val="Tahoma"/>
            <family val="2"/>
          </rPr>
          <t xml:space="preserve">
Posting Key 40 or 50 - Account = GL
Posting Key 01 to 19 - Account = Costomer
Posting Key 21 to 39 - Account = Vendor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5" authorId="1" shapeId="0" xr:uid="{531D2411-315D-4022-BFB1-F71015C789B2}">
      <text>
        <r>
          <rPr>
            <b/>
            <sz val="9"/>
            <color indexed="81"/>
            <rFont val="Tahoma"/>
            <family val="2"/>
          </rPr>
          <t xml:space="preserve">Alternative Reconciliation Account field is used to replace default reconciliation account in Vendor or Customer Master.
</t>
        </r>
      </text>
    </comment>
    <comment ref="Z5" authorId="1" shapeId="0" xr:uid="{849EC426-F0A2-4E2D-B657-3054BA79C652}">
      <text>
        <r>
          <rPr>
            <b/>
            <sz val="9"/>
            <color indexed="81"/>
            <rFont val="Tahoma"/>
            <family val="2"/>
          </rPr>
          <t>Enter value ONLY IF you want to overwrite system default</t>
        </r>
      </text>
    </comment>
    <comment ref="AA5" authorId="1" shapeId="0" xr:uid="{B6A26EDC-2ACF-4DBD-95E4-D4C00193CFEC}">
      <text>
        <r>
          <rPr>
            <b/>
            <sz val="9"/>
            <color indexed="81"/>
            <rFont val="Tahoma"/>
            <family val="2"/>
          </rPr>
          <t>Enter value ONLY IF you want to overwrite system default</t>
        </r>
      </text>
    </comment>
    <comment ref="AB5" authorId="1" shapeId="0" xr:uid="{EDEDE80D-D8C9-41E7-A054-A0F7AD008C61}">
      <text>
        <r>
          <rPr>
            <b/>
            <sz val="9"/>
            <color indexed="81"/>
            <rFont val="Tahoma"/>
            <family val="2"/>
          </rPr>
          <t>Enter value ONLY IF you want to overwrite system default</t>
        </r>
      </text>
    </comment>
  </commentList>
</comments>
</file>

<file path=xl/sharedStrings.xml><?xml version="1.0" encoding="utf-8"?>
<sst xmlns="http://schemas.openxmlformats.org/spreadsheetml/2006/main" count="929" uniqueCount="295">
  <si>
    <t>Document Date</t>
  </si>
  <si>
    <t>Currency</t>
  </si>
  <si>
    <t>Posting Key</t>
  </si>
  <si>
    <t>Profit Center</t>
  </si>
  <si>
    <t>DDMMYYYY</t>
  </si>
  <si>
    <t>BLDAT</t>
  </si>
  <si>
    <t>BUDAT</t>
  </si>
  <si>
    <t>BLART</t>
  </si>
  <si>
    <t>BUKRS</t>
  </si>
  <si>
    <t>WAERS</t>
  </si>
  <si>
    <t>BKTXT</t>
  </si>
  <si>
    <t>XBLNR</t>
  </si>
  <si>
    <t>WRBTR</t>
  </si>
  <si>
    <t>DMBTR</t>
  </si>
  <si>
    <t>ZUONR</t>
  </si>
  <si>
    <t>KOSTL</t>
  </si>
  <si>
    <t>PRCTR</t>
  </si>
  <si>
    <t>AUFNR</t>
  </si>
  <si>
    <t>SGTXT</t>
  </si>
  <si>
    <t>MWSKZ</t>
  </si>
  <si>
    <t>Posting Date</t>
  </si>
  <si>
    <t>Doc. type</t>
  </si>
  <si>
    <t>Comp. Code</t>
  </si>
  <si>
    <t>Header Text</t>
  </si>
  <si>
    <t>Reference Doc</t>
  </si>
  <si>
    <t>C(017)</t>
  </si>
  <si>
    <t>Account</t>
  </si>
  <si>
    <t>Tax Code</t>
  </si>
  <si>
    <t>Assignment</t>
  </si>
  <si>
    <t>Cost center</t>
  </si>
  <si>
    <t>Order</t>
  </si>
  <si>
    <t>Text</t>
  </si>
  <si>
    <t>Value Date</t>
  </si>
  <si>
    <t>VALUT</t>
  </si>
  <si>
    <t>HWBAS</t>
  </si>
  <si>
    <t>FWBAS</t>
  </si>
  <si>
    <t>ZTERM</t>
  </si>
  <si>
    <t>ZFBDT</t>
  </si>
  <si>
    <t>Baseline Date</t>
  </si>
  <si>
    <t>C(4)</t>
  </si>
  <si>
    <t>C(18)</t>
  </si>
  <si>
    <t>C(50)</t>
  </si>
  <si>
    <t>C(10)</t>
  </si>
  <si>
    <t>C(2)</t>
  </si>
  <si>
    <t>C(25)</t>
  </si>
  <si>
    <t>C(16)</t>
  </si>
  <si>
    <t>C(5)</t>
  </si>
  <si>
    <t>C(1)</t>
  </si>
  <si>
    <t>Special G/L Ind.</t>
  </si>
  <si>
    <t>WMWST</t>
  </si>
  <si>
    <t>MWSTS</t>
  </si>
  <si>
    <t>Tax Amt
(Doc Curr)</t>
  </si>
  <si>
    <t>Tax Amt
(Local Curr)</t>
  </si>
  <si>
    <t>Tax Base
(Doc Curr)</t>
  </si>
  <si>
    <t>Tax Base
(Local Curr)</t>
  </si>
  <si>
    <t>Amount
(Doc Curr)</t>
  </si>
  <si>
    <t>Amount
(Local Curr)</t>
  </si>
  <si>
    <t>DOCUMENT CURRENCY</t>
  </si>
  <si>
    <t>LOCAL CURRENCY</t>
  </si>
  <si>
    <t>ACCOUNT</t>
  </si>
  <si>
    <t>PAYMENT/CASHFLOW</t>
  </si>
  <si>
    <t>CO OBJECTS</t>
  </si>
  <si>
    <t>REFERENCE/TEXT</t>
  </si>
  <si>
    <t>Payment Term</t>
  </si>
  <si>
    <t>DEC(13,2)
XXXXXXXX.YY</t>
  </si>
  <si>
    <t>DOCUMENT HEADER</t>
  </si>
  <si>
    <t>DOCUMENT LINE ITEM</t>
  </si>
  <si>
    <t>BUPLA</t>
  </si>
  <si>
    <t>C(6)</t>
  </si>
  <si>
    <t>Business Place</t>
  </si>
  <si>
    <t>HKONT</t>
  </si>
  <si>
    <t>C(010)</t>
  </si>
  <si>
    <t>Alternative Reconciliatn A/C</t>
  </si>
  <si>
    <t>COPA OBJECTS</t>
  </si>
  <si>
    <t>C(9)</t>
  </si>
  <si>
    <t>Trading Partner</t>
  </si>
  <si>
    <t>WW024_PA</t>
  </si>
  <si>
    <t>XREF1</t>
  </si>
  <si>
    <t>XREF2</t>
  </si>
  <si>
    <t>Reference Key 1</t>
  </si>
  <si>
    <t>Reference Key 2</t>
  </si>
  <si>
    <t>C(12)</t>
  </si>
  <si>
    <t>Reference Key 3</t>
  </si>
  <si>
    <t>XREF3</t>
  </si>
  <si>
    <t>C(20)</t>
  </si>
  <si>
    <t>VAT Business partner name</t>
  </si>
  <si>
    <t>VAT Business partner address</t>
  </si>
  <si>
    <t>VAT Business partner VAT Reg.N</t>
  </si>
  <si>
    <t>Payer/Payee</t>
  </si>
  <si>
    <t>Payer/Payee address</t>
  </si>
  <si>
    <t>Brand</t>
  </si>
  <si>
    <t>(C30)</t>
  </si>
  <si>
    <t>Prod.hierarchy</t>
  </si>
  <si>
    <t>Customer</t>
  </si>
  <si>
    <t>Product</t>
  </si>
  <si>
    <t>Billing Type</t>
  </si>
  <si>
    <t>Sales Order</t>
  </si>
  <si>
    <t>Sales ord. item</t>
  </si>
  <si>
    <t>Plant</t>
  </si>
  <si>
    <t>Segment</t>
  </si>
  <si>
    <t>Sales Org.</t>
  </si>
  <si>
    <t>Distr. Channel</t>
  </si>
  <si>
    <t>Cost Object</t>
  </si>
  <si>
    <t>Partner PC</t>
  </si>
  <si>
    <t>Generic Article</t>
  </si>
  <si>
    <t>Customer Group</t>
  </si>
  <si>
    <t>Bill-to party</t>
  </si>
  <si>
    <t>Ship-to party</t>
  </si>
  <si>
    <t>Country</t>
  </si>
  <si>
    <t>Material Group</t>
  </si>
  <si>
    <t>Partner</t>
  </si>
  <si>
    <t>Season Year</t>
  </si>
  <si>
    <t>Season</t>
  </si>
  <si>
    <t>Sales Office</t>
  </si>
  <si>
    <t>Sales Group</t>
  </si>
  <si>
    <t>Area</t>
  </si>
  <si>
    <t>Industry</t>
  </si>
  <si>
    <t>Sales District</t>
  </si>
  <si>
    <t>Sales employee</t>
  </si>
  <si>
    <t>Main material group</t>
  </si>
  <si>
    <t>Zone</t>
  </si>
  <si>
    <t>Sale Transaction Typ</t>
  </si>
  <si>
    <t>Discount Type</t>
  </si>
  <si>
    <t>Tender Type</t>
  </si>
  <si>
    <t>Financial Trasn.Type</t>
  </si>
  <si>
    <t>C(40)</t>
  </si>
  <si>
    <t>C(3)</t>
  </si>
  <si>
    <t>C(8)</t>
  </si>
  <si>
    <t>Num(6)</t>
  </si>
  <si>
    <t>Department</t>
  </si>
  <si>
    <t>Sales doc. type</t>
  </si>
  <si>
    <t>Valuation Type</t>
  </si>
  <si>
    <t>Price Group</t>
  </si>
  <si>
    <t>Mat. Price Grp</t>
  </si>
  <si>
    <t>Sold-to party</t>
  </si>
  <si>
    <t>Stor. location</t>
  </si>
  <si>
    <t>Price List</t>
  </si>
  <si>
    <t>Usage</t>
  </si>
  <si>
    <t>Shipping Point</t>
  </si>
  <si>
    <t>Region</t>
  </si>
  <si>
    <t>Branch Code</t>
  </si>
  <si>
    <t>Return Reason</t>
  </si>
  <si>
    <t>Refund Code</t>
  </si>
  <si>
    <t>Order Reason</t>
  </si>
  <si>
    <t>VND</t>
  </si>
  <si>
    <t>Material</t>
  </si>
  <si>
    <t>Quantity</t>
  </si>
  <si>
    <t>MATNR</t>
  </si>
  <si>
    <t>MENGE</t>
  </si>
  <si>
    <t>Name 1</t>
  </si>
  <si>
    <t>City</t>
  </si>
  <si>
    <t>Title</t>
  </si>
  <si>
    <t>TITLE</t>
  </si>
  <si>
    <t>NAME_2</t>
  </si>
  <si>
    <t>Name 2</t>
  </si>
  <si>
    <t>NAME_3</t>
  </si>
  <si>
    <t>Name 3</t>
  </si>
  <si>
    <t>NAME_4</t>
  </si>
  <si>
    <t>Name 4</t>
  </si>
  <si>
    <t>COUNTRY</t>
  </si>
  <si>
    <t>REGION</t>
  </si>
  <si>
    <t xml:space="preserve">Tax Number </t>
  </si>
  <si>
    <t>C(35)</t>
  </si>
  <si>
    <t>C(15)</t>
  </si>
  <si>
    <t>One-time Posting</t>
  </si>
  <si>
    <t>VATBPN</t>
  </si>
  <si>
    <t>VATBPA</t>
  </si>
  <si>
    <t>VATBPR</t>
  </si>
  <si>
    <t>PAYER</t>
  </si>
  <si>
    <t>PAYERA</t>
  </si>
  <si>
    <t>BSCHL</t>
  </si>
  <si>
    <t>ALT_HKONT</t>
  </si>
  <si>
    <t>UMSKZ</t>
  </si>
  <si>
    <t>COPA_KNDNR</t>
  </si>
  <si>
    <t>COPA_ARTNR</t>
  </si>
  <si>
    <t>COPA_FKART</t>
  </si>
  <si>
    <t>COPA_KAUFN</t>
  </si>
  <si>
    <t>COPA_KDPOS</t>
  </si>
  <si>
    <t>COPA_RKAUFNR</t>
  </si>
  <si>
    <t>COPA_WERKS</t>
  </si>
  <si>
    <t>COPA_FKBER</t>
  </si>
  <si>
    <t>COPA_SEGMENT</t>
  </si>
  <si>
    <t>COPA_VKORG</t>
  </si>
  <si>
    <t>COPA_VTWEG</t>
  </si>
  <si>
    <t>COPA_KOSTL</t>
  </si>
  <si>
    <t>COPA_KSTRG</t>
  </si>
  <si>
    <t>COPA_PRCTR</t>
  </si>
  <si>
    <t>COPA_PPRCTR</t>
  </si>
  <si>
    <t>COPA_ARTNRG</t>
  </si>
  <si>
    <t>COPA_KDGRP</t>
  </si>
  <si>
    <t>COPA_KMBRND</t>
  </si>
  <si>
    <t>COPA_KUNRE</t>
  </si>
  <si>
    <t>COPA_KUNWE</t>
  </si>
  <si>
    <t>COPA_LAND1</t>
  </si>
  <si>
    <t>COPA_MATKL</t>
  </si>
  <si>
    <t>COPA_PARTNER</t>
  </si>
  <si>
    <t>COPA_PRODH</t>
  </si>
  <si>
    <t>COPA_SAISJ</t>
  </si>
  <si>
    <t>COPA_SAISO</t>
  </si>
  <si>
    <t>COPA_VKBUR</t>
  </si>
  <si>
    <t>COPA_VKGRP</t>
  </si>
  <si>
    <t>COPA_GEBIE</t>
  </si>
  <si>
    <t>COPA_BRSCH</t>
  </si>
  <si>
    <t>COPA_BZIRK</t>
  </si>
  <si>
    <t>COPA_KMVTNR</t>
  </si>
  <si>
    <t>COPA_KMWNHG</t>
  </si>
  <si>
    <t>COPA_KMZONE</t>
  </si>
  <si>
    <t>COPA_WW010</t>
  </si>
  <si>
    <t>COPA_WW020</t>
  </si>
  <si>
    <t>COPA_WW030</t>
  </si>
  <si>
    <t>COPA_WW040</t>
  </si>
  <si>
    <t>COPA_ABTNR</t>
  </si>
  <si>
    <t>COPA_AUART</t>
  </si>
  <si>
    <t>COPA_BWTAR</t>
  </si>
  <si>
    <t>COPA_KONDA</t>
  </si>
  <si>
    <t>COPA_KONDM</t>
  </si>
  <si>
    <t>COPA_KUNNR</t>
  </si>
  <si>
    <t>COPA_LGORT</t>
  </si>
  <si>
    <t>COPA_PLTYP</t>
  </si>
  <si>
    <t>COPA_VKAUS</t>
  </si>
  <si>
    <t>COPA_VSTEL</t>
  </si>
  <si>
    <t>COPA_WW050</t>
  </si>
  <si>
    <t>COPA_WW060</t>
  </si>
  <si>
    <t>COPA_WW070</t>
  </si>
  <si>
    <t>COPA_WW080</t>
  </si>
  <si>
    <t>COPA_AUGRU</t>
  </si>
  <si>
    <t>ORT01</t>
  </si>
  <si>
    <t>STCEG</t>
  </si>
  <si>
    <t>KOKRS</t>
  </si>
  <si>
    <t>GSBER</t>
  </si>
  <si>
    <t>SPART</t>
  </si>
  <si>
    <t>WW011</t>
  </si>
  <si>
    <t>VERTN</t>
  </si>
  <si>
    <t>Controlling area</t>
  </si>
  <si>
    <t>Business area</t>
  </si>
  <si>
    <t>Division</t>
  </si>
  <si>
    <t>Khối</t>
  </si>
  <si>
    <t>C(13)</t>
  </si>
  <si>
    <t>S026</t>
  </si>
  <si>
    <t>MEINS</t>
  </si>
  <si>
    <t>Base Unit</t>
  </si>
  <si>
    <t>NAME1</t>
  </si>
  <si>
    <t>VPTNR</t>
  </si>
  <si>
    <t>Partner (BP parner)</t>
  </si>
  <si>
    <t>FIPOS</t>
  </si>
  <si>
    <t>C(14)</t>
  </si>
  <si>
    <t>Commitment Item</t>
  </si>
  <si>
    <t>BVTYP</t>
  </si>
  <si>
    <t>Partner bank type</t>
  </si>
  <si>
    <t>XNEGP</t>
  </si>
  <si>
    <t>Negative posting</t>
  </si>
  <si>
    <t>B046</t>
  </si>
  <si>
    <t>REBZG</t>
  </si>
  <si>
    <t>REBZJ</t>
  </si>
  <si>
    <t>Document No. Relevant Invoice</t>
  </si>
  <si>
    <t>Fiscal Year of the Relevant Invoice</t>
  </si>
  <si>
    <t>REBZZ</t>
  </si>
  <si>
    <t>Line Item in the Relevant Invoice</t>
  </si>
  <si>
    <t>PO_NUMBER</t>
  </si>
  <si>
    <t>PO_ITEM</t>
  </si>
  <si>
    <t>FUNDS_CTR</t>
  </si>
  <si>
    <t>PO Number</t>
  </si>
  <si>
    <t>PO Items</t>
  </si>
  <si>
    <t>Fund center</t>
  </si>
  <si>
    <t>50</t>
  </si>
  <si>
    <t>Hợp đồng (Functional area)</t>
  </si>
  <si>
    <t>COPA-Functional area (chiều phân tích doanh thu)</t>
  </si>
  <si>
    <t>DR</t>
  </si>
  <si>
    <t>01</t>
  </si>
  <si>
    <t>T000</t>
  </si>
  <si>
    <t>3331110000</t>
  </si>
  <si>
    <t>O2</t>
  </si>
  <si>
    <t>5111526200</t>
  </si>
  <si>
    <t>LIT</t>
  </si>
  <si>
    <t>Bia Wings Dark Lager</t>
  </si>
  <si>
    <t>Bia Lunar Castle Dry hop Pale Ale</t>
  </si>
  <si>
    <t>LON</t>
  </si>
  <si>
    <t>27082026</t>
  </si>
  <si>
    <t>CN Beer SKB T8_BNC</t>
  </si>
  <si>
    <t>Bia Golden Bridge Helles Lager</t>
  </si>
  <si>
    <t>Bia Volcano Kiss dry hop lager</t>
  </si>
  <si>
    <t>Bia Helios Wheat Lager</t>
  </si>
  <si>
    <t>Bia Eclipse Plaza Dry Hop Wheat VN</t>
  </si>
  <si>
    <t>Bia Golden Bridge Helles Lager lon330ml</t>
  </si>
  <si>
    <t>Bia Lunar Castle Dry hop Pale Ale 330ml</t>
  </si>
  <si>
    <t>Bia Wings Dark Lager 330ml</t>
  </si>
  <si>
    <t>CN Beer SKB T8_Capella</t>
  </si>
  <si>
    <t>CN Beer SKB T8_FV</t>
  </si>
  <si>
    <t>CN Beer SKB T8_HLS</t>
  </si>
  <si>
    <t>CN Beer SKB T8_ITC</t>
  </si>
  <si>
    <t>CN Beer SKB T8_MGS</t>
  </si>
  <si>
    <t>CN Beer SKB T8_NVT</t>
  </si>
  <si>
    <t>AK0101</t>
  </si>
  <si>
    <t/>
  </si>
  <si>
    <t>SX182001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</si>
</sst>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angal"/>
      <family val="2"/>
    </font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0"/>
      <name val="Courier New"/>
      <family val="3"/>
    </font>
    <font>
      <b/>
      <sz val="10"/>
      <name val="Courier New"/>
      <family val="3"/>
    </font>
    <font>
      <sz val="10"/>
      <color theme="1"/>
      <name val="Courier New"/>
      <family val="3"/>
    </font>
    <font>
      <sz val="10"/>
      <color rgb="FFFF0000"/>
      <name val="Courier New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sz val="10"/>
      <color theme="1"/>
      <name val="Arial"/>
      <family val="2"/>
    </font>
    <font>
      <sz val="11"/>
      <color theme="1"/>
      <name val="Calibri"/>
      <family val="2"/>
      <charset val="163"/>
      <scheme val="minor"/>
    </font>
    <font>
      <sz val="11"/>
      <name val="Times New Roman"/>
      <family val="1"/>
    </font>
    <font>
      <b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3" fillId="0" borderId="0" applyFont="0" applyFill="0" applyBorder="0" applyAlignment="0" applyProtection="0"/>
    <xf numFmtId="0" fontId="2" fillId="0" borderId="0" applyFill="0" applyBorder="0" applyAlignment="0" applyProtection="0"/>
    <xf numFmtId="0" fontId="1" fillId="0" borderId="0"/>
    <xf numFmtId="0" fontId="1" fillId="0" borderId="0"/>
    <xf numFmtId="0" fontId="12" fillId="0" borderId="0"/>
    <xf numFmtId="0" fontId="13" fillId="0" borderId="0"/>
    <xf numFmtId="0" fontId="3" fillId="0" borderId="0"/>
    <xf numFmtId="0" fontId="1" fillId="0" borderId="0"/>
    <xf numFmtId="0" fontId="13" fillId="0" borderId="0"/>
    <xf numFmtId="0" fontId="1" fillId="0" borderId="0"/>
  </cellStyleXfs>
  <cellXfs count="56">
    <xf numFmtId="0" fontId="0" fillId="0" borderId="0" xfId="0"/>
    <xf numFmtId="49" fontId="5" fillId="0" borderId="0" xfId="0" applyNumberFormat="1" applyFont="1" applyAlignment="1">
      <alignment vertical="top" wrapText="1"/>
    </xf>
    <xf numFmtId="49" fontId="5" fillId="0" borderId="0" xfId="0" applyNumberFormat="1" applyFont="1"/>
    <xf numFmtId="49" fontId="4" fillId="0" borderId="0" xfId="0" applyNumberFormat="1" applyFont="1"/>
    <xf numFmtId="49" fontId="6" fillId="0" borderId="0" xfId="0" applyNumberFormat="1" applyFont="1"/>
    <xf numFmtId="3" fontId="8" fillId="0" borderId="0" xfId="1" applyNumberFormat="1" applyFont="1" applyFill="1" applyAlignment="1">
      <alignment horizontal="right"/>
    </xf>
    <xf numFmtId="49" fontId="7" fillId="0" borderId="0" xfId="0" applyNumberFormat="1" applyFont="1"/>
    <xf numFmtId="49" fontId="7" fillId="0" borderId="0" xfId="0" applyNumberFormat="1" applyFont="1" applyAlignment="1">
      <alignment horizontal="left"/>
    </xf>
    <xf numFmtId="43" fontId="7" fillId="0" borderId="0" xfId="1" applyFont="1" applyFill="1"/>
    <xf numFmtId="2" fontId="7" fillId="0" borderId="0" xfId="1" applyNumberFormat="1" applyFont="1" applyFill="1"/>
    <xf numFmtId="1" fontId="14" fillId="0" borderId="1" xfId="1" applyNumberFormat="1" applyFont="1" applyFill="1" applyBorder="1"/>
    <xf numFmtId="0" fontId="14" fillId="0" borderId="1" xfId="1" applyNumberFormat="1" applyFont="1" applyFill="1" applyBorder="1"/>
    <xf numFmtId="0" fontId="7" fillId="0" borderId="0" xfId="0" applyFont="1"/>
    <xf numFmtId="49" fontId="14" fillId="0" borderId="0" xfId="0" applyNumberFormat="1" applyFont="1"/>
    <xf numFmtId="49" fontId="14" fillId="0" borderId="0" xfId="0" applyNumberFormat="1" applyFont="1" applyAlignment="1">
      <alignment horizontal="left"/>
    </xf>
    <xf numFmtId="49" fontId="14" fillId="2" borderId="0" xfId="0" applyNumberFormat="1" applyFont="1" applyFill="1"/>
    <xf numFmtId="49" fontId="15" fillId="4" borderId="0" xfId="0" applyNumberFormat="1" applyFont="1" applyFill="1" applyAlignment="1">
      <alignment horizontal="center"/>
    </xf>
    <xf numFmtId="49" fontId="14" fillId="0" borderId="0" xfId="0" applyNumberFormat="1" applyFont="1" applyAlignment="1">
      <alignment horizontal="left" vertical="top" wrapText="1"/>
    </xf>
    <xf numFmtId="49" fontId="14" fillId="0" borderId="0" xfId="0" quotePrefix="1" applyNumberFormat="1" applyFont="1"/>
    <xf numFmtId="1" fontId="14" fillId="0" borderId="1" xfId="1" applyNumberFormat="1" applyFont="1" applyFill="1" applyBorder="1" applyAlignment="1">
      <alignment horizontal="right" vertical="top"/>
    </xf>
    <xf numFmtId="3" fontId="14" fillId="0" borderId="1" xfId="1" applyNumberFormat="1" applyFont="1" applyFill="1" applyBorder="1" applyAlignment="1">
      <alignment horizontal="right"/>
    </xf>
    <xf numFmtId="49" fontId="14" fillId="0" borderId="1" xfId="0" applyNumberFormat="1" applyFont="1" applyFill="1" applyBorder="1"/>
    <xf numFmtId="49" fontId="14" fillId="0" borderId="1" xfId="0" applyNumberFormat="1" applyFont="1" applyFill="1" applyBorder="1" applyAlignment="1">
      <alignment horizontal="left"/>
    </xf>
    <xf numFmtId="49" fontId="14" fillId="0" borderId="1" xfId="4" applyNumberFormat="1" applyFont="1" applyFill="1" applyBorder="1" applyAlignment="1">
      <alignment horizontal="left"/>
    </xf>
    <xf numFmtId="0" fontId="14" fillId="0" borderId="1" xfId="0" applyFont="1" applyFill="1" applyBorder="1" applyAlignment="1">
      <alignment vertical="top" wrapText="1"/>
    </xf>
    <xf numFmtId="0" fontId="14" fillId="0" borderId="1" xfId="0" applyFont="1" applyFill="1" applyBorder="1"/>
    <xf numFmtId="0" fontId="14" fillId="0" borderId="1" xfId="0" applyFont="1" applyFill="1" applyBorder="1" applyAlignment="1">
      <alignment horizontal="left"/>
    </xf>
    <xf numFmtId="0" fontId="14" fillId="0" borderId="1" xfId="9" applyFont="1" applyFill="1" applyBorder="1"/>
    <xf numFmtId="0" fontId="14" fillId="0" borderId="1" xfId="0" applyFont="1" applyFill="1" applyBorder="1" applyAlignment="1">
      <alignment vertical="top"/>
    </xf>
    <xf numFmtId="49" fontId="14" fillId="0" borderId="1" xfId="0" applyNumberFormat="1" applyFont="1" applyFill="1" applyBorder="1" applyAlignment="1">
      <alignment horizontal="left" vertical="center"/>
    </xf>
    <xf numFmtId="49" fontId="14" fillId="5" borderId="1" xfId="0" applyNumberFormat="1" applyFont="1" applyFill="1" applyBorder="1" applyAlignment="1">
      <alignment horizontal="left"/>
    </xf>
    <xf numFmtId="49" fontId="14" fillId="5" borderId="1" xfId="4" applyNumberFormat="1" applyFont="1" applyFill="1" applyBorder="1" applyAlignment="1">
      <alignment horizontal="left"/>
    </xf>
    <xf numFmtId="0" fontId="14" fillId="5" borderId="1" xfId="0" applyFont="1" applyFill="1" applyBorder="1" applyAlignment="1">
      <alignment vertical="top" wrapText="1"/>
    </xf>
    <xf numFmtId="49" fontId="14" fillId="5" borderId="1" xfId="0" applyNumberFormat="1" applyFont="1" applyFill="1" applyBorder="1"/>
    <xf numFmtId="0" fontId="14" fillId="5" borderId="1" xfId="0" applyFont="1" applyFill="1" applyBorder="1"/>
    <xf numFmtId="49" fontId="14" fillId="5" borderId="1" xfId="0" applyNumberFormat="1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/>
    </xf>
    <xf numFmtId="0" fontId="14" fillId="5" borderId="1" xfId="1" applyNumberFormat="1" applyFont="1" applyFill="1" applyBorder="1"/>
    <xf numFmtId="1" fontId="14" fillId="5" borderId="1" xfId="1" applyNumberFormat="1" applyFont="1" applyFill="1" applyBorder="1" applyAlignment="1">
      <alignment horizontal="right" vertical="top"/>
    </xf>
    <xf numFmtId="1" fontId="14" fillId="5" borderId="1" xfId="1" applyNumberFormat="1" applyFont="1" applyFill="1" applyBorder="1"/>
    <xf numFmtId="3" fontId="14" fillId="5" borderId="1" xfId="1" applyNumberFormat="1" applyFont="1" applyFill="1" applyBorder="1" applyAlignment="1">
      <alignment horizontal="right"/>
    </xf>
    <xf numFmtId="0" fontId="14" fillId="5" borderId="1" xfId="9" applyFont="1" applyFill="1" applyBorder="1"/>
    <xf numFmtId="49" fontId="14" fillId="3" borderId="1" xfId="0" applyNumberFormat="1" applyFont="1" applyFill="1" applyBorder="1" applyAlignment="1">
      <alignment horizontal="center" vertical="center"/>
    </xf>
    <xf numFmtId="49" fontId="14" fillId="3" borderId="1" xfId="0" applyNumberFormat="1" applyFont="1" applyFill="1" applyBorder="1" applyAlignment="1">
      <alignment horizontal="center" vertical="center"/>
    </xf>
    <xf numFmtId="43" fontId="14" fillId="3" borderId="1" xfId="1" applyFont="1" applyFill="1" applyBorder="1" applyAlignment="1">
      <alignment horizontal="center" vertical="center"/>
    </xf>
    <xf numFmtId="3" fontId="14" fillId="3" borderId="1" xfId="1" applyNumberFormat="1" applyFont="1" applyFill="1" applyBorder="1" applyAlignment="1">
      <alignment horizontal="center" vertical="center"/>
    </xf>
    <xf numFmtId="49" fontId="14" fillId="3" borderId="1" xfId="0" applyNumberFormat="1" applyFont="1" applyFill="1" applyBorder="1" applyAlignment="1">
      <alignment horizontal="center" vertical="center" wrapText="1"/>
    </xf>
    <xf numFmtId="49" fontId="14" fillId="3" borderId="1" xfId="0" applyNumberFormat="1" applyFont="1" applyFill="1" applyBorder="1" applyAlignment="1">
      <alignment horizontal="center" vertical="center" wrapText="1"/>
    </xf>
    <xf numFmtId="43" fontId="14" fillId="3" borderId="1" xfId="1" applyFont="1" applyFill="1" applyBorder="1" applyAlignment="1">
      <alignment horizontal="center" vertical="center"/>
    </xf>
    <xf numFmtId="2" fontId="14" fillId="3" borderId="1" xfId="1" applyNumberFormat="1" applyFont="1" applyFill="1" applyBorder="1" applyAlignment="1">
      <alignment horizontal="center" vertical="center"/>
    </xf>
    <xf numFmtId="3" fontId="14" fillId="3" borderId="1" xfId="1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43" fontId="14" fillId="3" borderId="1" xfId="1" applyFont="1" applyFill="1" applyBorder="1" applyAlignment="1">
      <alignment horizontal="center" vertical="center" wrapText="1"/>
    </xf>
    <xf numFmtId="2" fontId="14" fillId="3" borderId="1" xfId="1" applyNumberFormat="1" applyFont="1" applyFill="1" applyBorder="1" applyAlignment="1">
      <alignment horizontal="center" vertical="center" wrapText="1"/>
    </xf>
    <xf numFmtId="3" fontId="14" fillId="3" borderId="1" xfId="1" applyNumberFormat="1" applyFont="1" applyFill="1" applyBorder="1" applyAlignment="1">
      <alignment horizontal="center" vertical="center" wrapText="1"/>
    </xf>
    <xf numFmtId="0" fontId="14" fillId="3" borderId="1" xfId="1" applyNumberFormat="1" applyFont="1" applyFill="1" applyBorder="1" applyAlignment="1">
      <alignment horizontal="center" vertical="center" wrapText="1"/>
    </xf>
  </cellXfs>
  <cellStyles count="11">
    <cellStyle name="Comma" xfId="1" builtinId="3"/>
    <cellStyle name="Comma 28" xfId="2" xr:uid="{00000000-0005-0000-0000-000001000000}"/>
    <cellStyle name="Normal" xfId="0" builtinId="0"/>
    <cellStyle name="Normal 2 2" xfId="10" xr:uid="{1618423C-8707-46F4-9DAE-989E9B73815F}"/>
    <cellStyle name="Normal 20 6" xfId="3" xr:uid="{00000000-0005-0000-0000-000003000000}"/>
    <cellStyle name="Normal 4 2 2" xfId="5" xr:uid="{00000000-0005-0000-0000-000004000000}"/>
    <cellStyle name="Normal 4 3" xfId="9" xr:uid="{2D57A241-014F-4AD9-B913-10CDE7F1B6D6}"/>
    <cellStyle name="Normal 7 2" xfId="7" xr:uid="{00000000-0005-0000-0000-000005000000}"/>
    <cellStyle name="Normal 8" xfId="6" xr:uid="{00000000-0005-0000-0000-000006000000}"/>
    <cellStyle name="Normal 88" xfId="4" xr:uid="{00000000-0005-0000-0000-000007000000}"/>
    <cellStyle name="Normal 9" xfId="8" xr:uid="{00000000-0005-0000-0000-000008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F177-C24F-44C0-8424-9EA51F54AC5A}">
  <dimension ref="A1:DM45"/>
  <sheetViews>
    <sheetView tabSelected="1" zoomScaleNormal="100" workbookViewId="0">
      <pane xSplit="15" ySplit="5" topLeftCell="P6" activePane="bottomRight" state="frozen"/>
      <selection pane="topRight" activeCell="P1" sqref="P1"/>
      <selection pane="bottomLeft" activeCell="A6" sqref="A6"/>
      <selection pane="bottomRight" activeCell="H9" sqref="H9"/>
    </sheetView>
  </sheetViews>
  <sheetFormatPr defaultColWidth="11.42578125" defaultRowHeight="13.5" outlineLevelCol="1" x14ac:dyDescent="0.25"/>
  <cols>
    <col min="1" max="1" width="10.5703125" style="6" bestFit="1" customWidth="1"/>
    <col min="2" max="2" width="9.5703125" style="2" bestFit="1" customWidth="1"/>
    <col min="3" max="3" width="10.5703125" style="6" bestFit="1" customWidth="1"/>
    <col min="4" max="4" width="6.28515625" style="6" bestFit="1" customWidth="1"/>
    <col min="5" max="5" width="9.5703125" style="6" bestFit="1" customWidth="1"/>
    <col min="6" max="6" width="9" style="6" customWidth="1"/>
    <col min="7" max="7" width="25.85546875" style="7" customWidth="1"/>
    <col min="8" max="8" width="46.140625" style="7" customWidth="1"/>
    <col min="9" max="9" width="17.140625" style="6" hidden="1" customWidth="1"/>
    <col min="10" max="11" width="18.28515625" style="6" hidden="1" customWidth="1"/>
    <col min="12" max="12" width="12.42578125" style="6" hidden="1" customWidth="1"/>
    <col min="13" max="13" width="11.7109375" style="6" hidden="1" customWidth="1"/>
    <col min="14" max="14" width="6.85546875" style="6" customWidth="1"/>
    <col min="15" max="15" width="12.42578125" style="6" bestFit="1" customWidth="1"/>
    <col min="16" max="16" width="9.5703125" style="6" customWidth="1"/>
    <col min="17" max="17" width="12.28515625" style="6" customWidth="1"/>
    <col min="18" max="18" width="9.5703125" style="6" customWidth="1"/>
    <col min="19" max="19" width="19.5703125" style="8" bestFit="1" customWidth="1"/>
    <col min="20" max="20" width="17.28515625" style="8" bestFit="1" customWidth="1"/>
    <col min="21" max="21" width="13.7109375" style="9" bestFit="1" customWidth="1"/>
    <col min="22" max="22" width="14.85546875" style="9" bestFit="1" customWidth="1"/>
    <col min="23" max="23" width="14.85546875" style="5" bestFit="1" customWidth="1"/>
    <col min="24" max="25" width="10.5703125" style="5" customWidth="1"/>
    <col min="26" max="26" width="7.42578125" style="6" customWidth="1"/>
    <col min="27" max="27" width="8.42578125" style="6" bestFit="1" customWidth="1"/>
    <col min="28" max="28" width="9.5703125" style="6" bestFit="1" customWidth="1"/>
    <col min="29" max="29" width="12.42578125" style="12" bestFit="1" customWidth="1"/>
    <col min="30" max="30" width="12.140625" style="6" hidden="1" customWidth="1" outlineLevel="1"/>
    <col min="31" max="31" width="11.5703125" style="6" hidden="1" customWidth="1" outlineLevel="1"/>
    <col min="32" max="32" width="12.140625" style="6" hidden="1" customWidth="1" outlineLevel="1"/>
    <col min="33" max="33" width="12" style="6" hidden="1" customWidth="1" outlineLevel="1"/>
    <col min="34" max="34" width="14.42578125" style="6" hidden="1" customWidth="1" outlineLevel="1"/>
    <col min="35" max="35" width="12.28515625" style="6" hidden="1" customWidth="1" outlineLevel="1"/>
    <col min="36" max="36" width="11.5703125" style="6" hidden="1" customWidth="1" outlineLevel="1"/>
    <col min="37" max="37" width="14.7109375" style="6" hidden="1" customWidth="1" outlineLevel="1"/>
    <col min="38" max="38" width="12.28515625" style="6" hidden="1" customWidth="1" outlineLevel="1"/>
    <col min="39" max="39" width="12.5703125" style="6" hidden="1" customWidth="1" outlineLevel="1"/>
    <col min="40" max="40" width="11.5703125" style="6" hidden="1" customWidth="1" outlineLevel="1"/>
    <col min="41" max="41" width="11.7109375" style="6" hidden="1" customWidth="1" outlineLevel="1"/>
    <col min="42" max="42" width="11.7109375" style="6" bestFit="1" customWidth="1" collapsed="1"/>
    <col min="43" max="43" width="12.7109375" style="6" hidden="1" customWidth="1" outlineLevel="1"/>
    <col min="44" max="44" width="13.42578125" style="6" hidden="1" customWidth="1" outlineLevel="1"/>
    <col min="45" max="45" width="12.140625" style="6" hidden="1" customWidth="1" outlineLevel="1"/>
    <col min="46" max="46" width="14" style="6" hidden="1" customWidth="1" outlineLevel="1"/>
    <col min="47" max="47" width="12.140625" style="6" hidden="1" customWidth="1" outlineLevel="1"/>
    <col min="48" max="48" width="12.85546875" style="6" hidden="1" customWidth="1" outlineLevel="1"/>
    <col min="49" max="49" width="12" style="6" hidden="1" customWidth="1" outlineLevel="1"/>
    <col min="50" max="50" width="12.140625" style="6" hidden="1" customWidth="1" outlineLevel="1"/>
    <col min="51" max="51" width="14.140625" style="6" hidden="1" customWidth="1" outlineLevel="1"/>
    <col min="52" max="52" width="12.42578125" style="6" hidden="1" customWidth="1" outlineLevel="1"/>
    <col min="53" max="53" width="10.5703125" style="6" hidden="1" customWidth="1" outlineLevel="1"/>
    <col min="54" max="54" width="11.42578125" style="6" hidden="1" customWidth="1" outlineLevel="1"/>
    <col min="55" max="55" width="12" style="6" hidden="1" customWidth="1" outlineLevel="1"/>
    <col min="56" max="56" width="11.85546875" style="6" hidden="1" customWidth="1" outlineLevel="1"/>
    <col min="57" max="57" width="11.42578125" style="6" hidden="1" customWidth="1" outlineLevel="1"/>
    <col min="58" max="58" width="11.85546875" style="6" hidden="1" customWidth="1" outlineLevel="1"/>
    <col min="59" max="59" width="11.140625" style="6" hidden="1" customWidth="1" outlineLevel="1"/>
    <col min="60" max="60" width="13.7109375" style="6" hidden="1" customWidth="1" outlineLevel="1"/>
    <col min="61" max="61" width="14.85546875" style="6" hidden="1" customWidth="1" outlineLevel="1"/>
    <col min="62" max="62" width="13.85546875" style="6" hidden="1" customWidth="1" outlineLevel="1"/>
    <col min="63" max="63" width="17.42578125" style="6" hidden="1" customWidth="1" outlineLevel="1"/>
    <col min="64" max="66" width="13.140625" style="6" hidden="1" customWidth="1" outlineLevel="1"/>
    <col min="67" max="68" width="12.140625" style="6" hidden="1" customWidth="1" outlineLevel="1"/>
    <col min="69" max="70" width="12.5703125" style="6" hidden="1" customWidth="1" outlineLevel="1"/>
    <col min="71" max="71" width="13.140625" style="6" hidden="1" customWidth="1" outlineLevel="1"/>
    <col min="72" max="72" width="12.42578125" style="6" hidden="1" customWidth="1" outlineLevel="1"/>
    <col min="73" max="73" width="12" style="6" hidden="1" customWidth="1" outlineLevel="1"/>
    <col min="74" max="74" width="11.28515625" style="6" hidden="1" customWidth="1" outlineLevel="1"/>
    <col min="75" max="75" width="11.85546875" style="6" hidden="1" customWidth="1" outlineLevel="1"/>
    <col min="76" max="76" width="11.28515625" style="6" hidden="1" customWidth="1" outlineLevel="1"/>
    <col min="77" max="80" width="13.140625" style="6" hidden="1" customWidth="1" outlineLevel="1"/>
    <col min="81" max="81" width="12.5703125" style="6" hidden="1" customWidth="1" outlineLevel="1"/>
    <col min="82" max="82" width="15.140625" style="6" bestFit="1" customWidth="1" collapsed="1"/>
    <col min="83" max="84" width="11.140625" style="6" hidden="1" customWidth="1" outlineLevel="1"/>
    <col min="85" max="85" width="10.5703125" style="6" hidden="1" customWidth="1" outlineLevel="1"/>
    <col min="86" max="86" width="44.85546875" style="7" customWidth="1" collapsed="1"/>
    <col min="87" max="87" width="17.42578125" style="7" hidden="1" customWidth="1" outlineLevel="1"/>
    <col min="88" max="88" width="10.5703125" style="7" hidden="1" customWidth="1" outlineLevel="1"/>
    <col min="89" max="89" width="17.42578125" style="7" hidden="1" customWidth="1" outlineLevel="1"/>
    <col min="90" max="90" width="10.5703125" style="7" hidden="1" customWidth="1" outlineLevel="1"/>
    <col min="91" max="91" width="9.5703125" style="6" hidden="1" customWidth="1" outlineLevel="1"/>
    <col min="92" max="92" width="10.42578125" style="6" bestFit="1" customWidth="1" collapsed="1"/>
    <col min="93" max="93" width="10.5703125" style="6" bestFit="1" customWidth="1"/>
    <col min="94" max="94" width="29.140625" style="6" hidden="1" customWidth="1" outlineLevel="1"/>
    <col min="95" max="98" width="7.42578125" style="6" hidden="1" customWidth="1" outlineLevel="1"/>
    <col min="99" max="99" width="6.28515625" style="6" hidden="1" customWidth="1" outlineLevel="1"/>
    <col min="100" max="100" width="8.42578125" style="6" hidden="1" customWidth="1" outlineLevel="1"/>
    <col min="101" max="101" width="7.42578125" style="6" hidden="1" customWidth="1" outlineLevel="1"/>
    <col min="102" max="102" width="11.7109375" style="6" hidden="1" customWidth="1" outlineLevel="1"/>
    <col min="103" max="103" width="14" style="6" hidden="1" customWidth="1" outlineLevel="1"/>
    <col min="104" max="104" width="10.5703125" style="6" hidden="1" customWidth="1" outlineLevel="1"/>
    <col min="105" max="105" width="9.5703125" style="6" hidden="1" customWidth="1" outlineLevel="1"/>
    <col min="106" max="106" width="6.28515625" style="6" hidden="1" customWidth="1" outlineLevel="1"/>
    <col min="107" max="107" width="17.42578125" style="6" hidden="1" customWidth="1" outlineLevel="1"/>
    <col min="108" max="108" width="9.5703125" style="6" hidden="1" customWidth="1" outlineLevel="1"/>
    <col min="109" max="114" width="10.5703125" style="6" hidden="1" customWidth="1" outlineLevel="1"/>
    <col min="115" max="115" width="9.5703125" style="6" hidden="1" customWidth="1" outlineLevel="1"/>
    <col min="116" max="116" width="11.7109375" style="6" hidden="1" customWidth="1" outlineLevel="1"/>
    <col min="117" max="117" width="11.42578125" style="6" collapsed="1"/>
    <col min="118" max="16384" width="11.42578125" style="6"/>
  </cols>
  <sheetData>
    <row r="1" spans="1:116" s="3" customFormat="1" ht="15" x14ac:dyDescent="0.25">
      <c r="A1" s="42" t="s">
        <v>65</v>
      </c>
      <c r="B1" s="42"/>
      <c r="C1" s="42"/>
      <c r="D1" s="42"/>
      <c r="E1" s="42"/>
      <c r="F1" s="42"/>
      <c r="G1" s="42"/>
      <c r="H1" s="42"/>
      <c r="I1" s="43"/>
      <c r="J1" s="43"/>
      <c r="K1" s="43"/>
      <c r="L1" s="43"/>
      <c r="M1" s="43"/>
      <c r="N1" s="42" t="s">
        <v>66</v>
      </c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3"/>
      <c r="CK1" s="43"/>
      <c r="CL1" s="43"/>
      <c r="CM1" s="43"/>
      <c r="CN1" s="43"/>
      <c r="CO1" s="43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</row>
    <row r="2" spans="1:116" s="3" customFormat="1" ht="15" x14ac:dyDescent="0.25">
      <c r="A2" s="42"/>
      <c r="B2" s="42"/>
      <c r="C2" s="42"/>
      <c r="D2" s="42"/>
      <c r="E2" s="42"/>
      <c r="F2" s="42"/>
      <c r="G2" s="42"/>
      <c r="H2" s="42"/>
      <c r="I2" s="43"/>
      <c r="J2" s="43"/>
      <c r="K2" s="43"/>
      <c r="L2" s="43"/>
      <c r="M2" s="43"/>
      <c r="N2" s="42" t="s">
        <v>59</v>
      </c>
      <c r="O2" s="42"/>
      <c r="P2" s="42"/>
      <c r="Q2" s="42"/>
      <c r="R2" s="42"/>
      <c r="S2" s="44" t="s">
        <v>57</v>
      </c>
      <c r="T2" s="44"/>
      <c r="U2" s="44"/>
      <c r="V2" s="44"/>
      <c r="W2" s="45" t="s">
        <v>58</v>
      </c>
      <c r="X2" s="45"/>
      <c r="Y2" s="45"/>
      <c r="Z2" s="42" t="s">
        <v>60</v>
      </c>
      <c r="AA2" s="42"/>
      <c r="AB2" s="42"/>
      <c r="AC2" s="46" t="s">
        <v>73</v>
      </c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2" t="s">
        <v>61</v>
      </c>
      <c r="CE2" s="42"/>
      <c r="CF2" s="42"/>
      <c r="CG2" s="42" t="s">
        <v>62</v>
      </c>
      <c r="CH2" s="42"/>
      <c r="CI2" s="42"/>
      <c r="CJ2" s="43"/>
      <c r="CK2" s="43"/>
      <c r="CL2" s="43"/>
      <c r="CM2" s="43"/>
      <c r="CN2" s="43"/>
      <c r="CO2" s="43"/>
      <c r="CP2" s="16" t="s">
        <v>164</v>
      </c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</row>
    <row r="3" spans="1:116" s="4" customFormat="1" ht="15" x14ac:dyDescent="0.25">
      <c r="A3" s="43" t="s">
        <v>5</v>
      </c>
      <c r="B3" s="43" t="s">
        <v>6</v>
      </c>
      <c r="C3" s="43" t="s">
        <v>7</v>
      </c>
      <c r="D3" s="43" t="s">
        <v>8</v>
      </c>
      <c r="E3" s="43" t="s">
        <v>9</v>
      </c>
      <c r="F3" s="43" t="s">
        <v>67</v>
      </c>
      <c r="G3" s="43" t="s">
        <v>11</v>
      </c>
      <c r="H3" s="43" t="s">
        <v>10</v>
      </c>
      <c r="I3" s="43" t="s">
        <v>165</v>
      </c>
      <c r="J3" s="43" t="s">
        <v>166</v>
      </c>
      <c r="K3" s="43" t="s">
        <v>167</v>
      </c>
      <c r="L3" s="43" t="s">
        <v>168</v>
      </c>
      <c r="M3" s="43" t="s">
        <v>169</v>
      </c>
      <c r="N3" s="43" t="s">
        <v>170</v>
      </c>
      <c r="O3" s="43" t="s">
        <v>70</v>
      </c>
      <c r="P3" s="43" t="s">
        <v>76</v>
      </c>
      <c r="Q3" s="43" t="s">
        <v>171</v>
      </c>
      <c r="R3" s="43" t="s">
        <v>172</v>
      </c>
      <c r="S3" s="48" t="s">
        <v>12</v>
      </c>
      <c r="T3" s="43" t="s">
        <v>19</v>
      </c>
      <c r="U3" s="49" t="s">
        <v>49</v>
      </c>
      <c r="V3" s="49" t="s">
        <v>35</v>
      </c>
      <c r="W3" s="50" t="s">
        <v>13</v>
      </c>
      <c r="X3" s="50" t="s">
        <v>50</v>
      </c>
      <c r="Y3" s="50" t="s">
        <v>34</v>
      </c>
      <c r="Z3" s="43" t="s">
        <v>33</v>
      </c>
      <c r="AA3" s="43" t="s">
        <v>36</v>
      </c>
      <c r="AB3" s="43" t="s">
        <v>37</v>
      </c>
      <c r="AC3" s="51" t="s">
        <v>173</v>
      </c>
      <c r="AD3" s="51" t="s">
        <v>174</v>
      </c>
      <c r="AE3" s="51" t="s">
        <v>175</v>
      </c>
      <c r="AF3" s="51" t="s">
        <v>176</v>
      </c>
      <c r="AG3" s="51" t="s">
        <v>177</v>
      </c>
      <c r="AH3" s="51" t="s">
        <v>178</v>
      </c>
      <c r="AI3" s="51" t="s">
        <v>179</v>
      </c>
      <c r="AJ3" s="51" t="s">
        <v>180</v>
      </c>
      <c r="AK3" s="51" t="s">
        <v>181</v>
      </c>
      <c r="AL3" s="51" t="s">
        <v>182</v>
      </c>
      <c r="AM3" s="51" t="s">
        <v>183</v>
      </c>
      <c r="AN3" s="51" t="s">
        <v>184</v>
      </c>
      <c r="AO3" s="51" t="s">
        <v>185</v>
      </c>
      <c r="AP3" s="51" t="s">
        <v>186</v>
      </c>
      <c r="AQ3" s="51" t="s">
        <v>187</v>
      </c>
      <c r="AR3" s="51" t="s">
        <v>188</v>
      </c>
      <c r="AS3" s="51" t="s">
        <v>189</v>
      </c>
      <c r="AT3" s="51" t="s">
        <v>190</v>
      </c>
      <c r="AU3" s="51" t="s">
        <v>191</v>
      </c>
      <c r="AV3" s="51" t="s">
        <v>192</v>
      </c>
      <c r="AW3" s="51" t="s">
        <v>193</v>
      </c>
      <c r="AX3" s="51" t="s">
        <v>194</v>
      </c>
      <c r="AY3" s="51" t="s">
        <v>195</v>
      </c>
      <c r="AZ3" s="51" t="s">
        <v>196</v>
      </c>
      <c r="BA3" s="51" t="s">
        <v>197</v>
      </c>
      <c r="BB3" s="51" t="s">
        <v>198</v>
      </c>
      <c r="BC3" s="51" t="s">
        <v>199</v>
      </c>
      <c r="BD3" s="51" t="s">
        <v>200</v>
      </c>
      <c r="BE3" s="51" t="s">
        <v>201</v>
      </c>
      <c r="BF3" s="51" t="s">
        <v>202</v>
      </c>
      <c r="BG3" s="51" t="s">
        <v>203</v>
      </c>
      <c r="BH3" s="51" t="s">
        <v>204</v>
      </c>
      <c r="BI3" s="51" t="s">
        <v>205</v>
      </c>
      <c r="BJ3" s="51" t="s">
        <v>206</v>
      </c>
      <c r="BK3" s="51" t="s">
        <v>207</v>
      </c>
      <c r="BL3" s="51" t="s">
        <v>208</v>
      </c>
      <c r="BM3" s="51" t="s">
        <v>209</v>
      </c>
      <c r="BN3" s="51" t="s">
        <v>210</v>
      </c>
      <c r="BO3" s="51" t="s">
        <v>211</v>
      </c>
      <c r="BP3" s="51" t="s">
        <v>212</v>
      </c>
      <c r="BQ3" s="51" t="s">
        <v>213</v>
      </c>
      <c r="BR3" s="51" t="s">
        <v>214</v>
      </c>
      <c r="BS3" s="51" t="s">
        <v>215</v>
      </c>
      <c r="BT3" s="51" t="s">
        <v>216</v>
      </c>
      <c r="BU3" s="51" t="s">
        <v>217</v>
      </c>
      <c r="BV3" s="51" t="s">
        <v>218</v>
      </c>
      <c r="BW3" s="51" t="s">
        <v>219</v>
      </c>
      <c r="BX3" s="51" t="s">
        <v>220</v>
      </c>
      <c r="BY3" s="51" t="s">
        <v>221</v>
      </c>
      <c r="BZ3" s="51" t="s">
        <v>222</v>
      </c>
      <c r="CA3" s="51" t="s">
        <v>223</v>
      </c>
      <c r="CB3" s="51" t="s">
        <v>224</v>
      </c>
      <c r="CC3" s="51" t="s">
        <v>225</v>
      </c>
      <c r="CD3" s="43" t="s">
        <v>16</v>
      </c>
      <c r="CE3" s="43" t="s">
        <v>15</v>
      </c>
      <c r="CF3" s="43" t="s">
        <v>17</v>
      </c>
      <c r="CG3" s="43" t="s">
        <v>14</v>
      </c>
      <c r="CH3" s="43" t="s">
        <v>18</v>
      </c>
      <c r="CI3" s="43" t="s">
        <v>244</v>
      </c>
      <c r="CJ3" s="43" t="s">
        <v>77</v>
      </c>
      <c r="CK3" s="43" t="s">
        <v>78</v>
      </c>
      <c r="CL3" s="43" t="s">
        <v>83</v>
      </c>
      <c r="CM3" s="43" t="s">
        <v>147</v>
      </c>
      <c r="CN3" s="43" t="s">
        <v>148</v>
      </c>
      <c r="CO3" s="43" t="s">
        <v>239</v>
      </c>
      <c r="CP3" s="14" t="s">
        <v>151</v>
      </c>
      <c r="CQ3" s="14" t="s">
        <v>241</v>
      </c>
      <c r="CR3" s="14" t="s">
        <v>153</v>
      </c>
      <c r="CS3" s="14" t="s">
        <v>155</v>
      </c>
      <c r="CT3" s="14" t="s">
        <v>157</v>
      </c>
      <c r="CU3" s="14" t="s">
        <v>226</v>
      </c>
      <c r="CV3" s="14" t="s">
        <v>159</v>
      </c>
      <c r="CW3" s="14" t="s">
        <v>160</v>
      </c>
      <c r="CX3" s="14" t="s">
        <v>227</v>
      </c>
      <c r="CY3" s="14" t="s">
        <v>228</v>
      </c>
      <c r="CZ3" s="14" t="s">
        <v>229</v>
      </c>
      <c r="DA3" s="14" t="s">
        <v>230</v>
      </c>
      <c r="DB3" s="14" t="s">
        <v>231</v>
      </c>
      <c r="DC3" s="14" t="s">
        <v>232</v>
      </c>
      <c r="DD3" s="14" t="s">
        <v>242</v>
      </c>
      <c r="DE3" s="14" t="s">
        <v>247</v>
      </c>
      <c r="DF3" s="14" t="s">
        <v>249</v>
      </c>
      <c r="DG3" s="14" t="s">
        <v>252</v>
      </c>
      <c r="DH3" s="14" t="s">
        <v>253</v>
      </c>
      <c r="DI3" s="14" t="s">
        <v>256</v>
      </c>
      <c r="DJ3" s="14" t="s">
        <v>258</v>
      </c>
      <c r="DK3" s="14" t="s">
        <v>259</v>
      </c>
      <c r="DL3" s="14" t="s">
        <v>260</v>
      </c>
    </row>
    <row r="4" spans="1:116" s="2" customFormat="1" ht="45" x14ac:dyDescent="0.25">
      <c r="A4" s="43" t="s">
        <v>4</v>
      </c>
      <c r="B4" s="43" t="s">
        <v>4</v>
      </c>
      <c r="C4" s="43" t="s">
        <v>43</v>
      </c>
      <c r="D4" s="43" t="s">
        <v>39</v>
      </c>
      <c r="E4" s="43" t="s">
        <v>46</v>
      </c>
      <c r="F4" s="43" t="s">
        <v>68</v>
      </c>
      <c r="G4" s="43" t="s">
        <v>45</v>
      </c>
      <c r="H4" s="43" t="s">
        <v>44</v>
      </c>
      <c r="I4" s="43" t="s">
        <v>91</v>
      </c>
      <c r="J4" s="43" t="s">
        <v>91</v>
      </c>
      <c r="K4" s="43" t="s">
        <v>91</v>
      </c>
      <c r="L4" s="43" t="s">
        <v>91</v>
      </c>
      <c r="M4" s="43" t="s">
        <v>91</v>
      </c>
      <c r="N4" s="43" t="s">
        <v>43</v>
      </c>
      <c r="O4" s="43" t="s">
        <v>25</v>
      </c>
      <c r="P4" s="43" t="s">
        <v>68</v>
      </c>
      <c r="Q4" s="43" t="s">
        <v>71</v>
      </c>
      <c r="R4" s="43" t="s">
        <v>47</v>
      </c>
      <c r="S4" s="52" t="s">
        <v>64</v>
      </c>
      <c r="T4" s="43" t="s">
        <v>43</v>
      </c>
      <c r="U4" s="53" t="s">
        <v>64</v>
      </c>
      <c r="V4" s="53" t="s">
        <v>64</v>
      </c>
      <c r="W4" s="54" t="s">
        <v>64</v>
      </c>
      <c r="X4" s="54" t="s">
        <v>64</v>
      </c>
      <c r="Y4" s="54" t="s">
        <v>64</v>
      </c>
      <c r="Z4" s="43" t="s">
        <v>4</v>
      </c>
      <c r="AA4" s="43" t="s">
        <v>39</v>
      </c>
      <c r="AB4" s="43" t="s">
        <v>4</v>
      </c>
      <c r="AC4" s="51" t="s">
        <v>42</v>
      </c>
      <c r="AD4" s="51" t="s">
        <v>125</v>
      </c>
      <c r="AE4" s="51" t="s">
        <v>39</v>
      </c>
      <c r="AF4" s="51" t="s">
        <v>42</v>
      </c>
      <c r="AG4" s="51" t="s">
        <v>128</v>
      </c>
      <c r="AH4" s="51" t="s">
        <v>81</v>
      </c>
      <c r="AI4" s="51" t="s">
        <v>39</v>
      </c>
      <c r="AJ4" s="51" t="s">
        <v>45</v>
      </c>
      <c r="AK4" s="51" t="s">
        <v>42</v>
      </c>
      <c r="AL4" s="51" t="s">
        <v>39</v>
      </c>
      <c r="AM4" s="51" t="s">
        <v>43</v>
      </c>
      <c r="AN4" s="51" t="s">
        <v>42</v>
      </c>
      <c r="AO4" s="51" t="s">
        <v>81</v>
      </c>
      <c r="AP4" s="51" t="s">
        <v>42</v>
      </c>
      <c r="AQ4" s="51" t="s">
        <v>42</v>
      </c>
      <c r="AR4" s="51" t="s">
        <v>125</v>
      </c>
      <c r="AS4" s="51" t="s">
        <v>43</v>
      </c>
      <c r="AT4" s="51" t="s">
        <v>43</v>
      </c>
      <c r="AU4" s="51" t="s">
        <v>42</v>
      </c>
      <c r="AV4" s="51" t="s">
        <v>42</v>
      </c>
      <c r="AW4" s="51" t="s">
        <v>126</v>
      </c>
      <c r="AX4" s="51" t="s">
        <v>74</v>
      </c>
      <c r="AY4" s="51" t="s">
        <v>42</v>
      </c>
      <c r="AZ4" s="51" t="s">
        <v>40</v>
      </c>
      <c r="BA4" s="51" t="s">
        <v>39</v>
      </c>
      <c r="BB4" s="51" t="s">
        <v>39</v>
      </c>
      <c r="BC4" s="51" t="s">
        <v>39</v>
      </c>
      <c r="BD4" s="51" t="s">
        <v>126</v>
      </c>
      <c r="BE4" s="51" t="s">
        <v>39</v>
      </c>
      <c r="BF4" s="51" t="s">
        <v>39</v>
      </c>
      <c r="BG4" s="51" t="s">
        <v>68</v>
      </c>
      <c r="BH4" s="51" t="s">
        <v>127</v>
      </c>
      <c r="BI4" s="51" t="s">
        <v>43</v>
      </c>
      <c r="BJ4" s="51" t="s">
        <v>46</v>
      </c>
      <c r="BK4" s="51" t="s">
        <v>39</v>
      </c>
      <c r="BL4" s="51" t="s">
        <v>39</v>
      </c>
      <c r="BM4" s="51" t="s">
        <v>39</v>
      </c>
      <c r="BN4" s="51" t="s">
        <v>39</v>
      </c>
      <c r="BO4" s="51" t="s">
        <v>39</v>
      </c>
      <c r="BP4" s="51" t="s">
        <v>39</v>
      </c>
      <c r="BQ4" s="51" t="s">
        <v>42</v>
      </c>
      <c r="BR4" s="51" t="s">
        <v>43</v>
      </c>
      <c r="BS4" s="51" t="s">
        <v>43</v>
      </c>
      <c r="BT4" s="51" t="s">
        <v>42</v>
      </c>
      <c r="BU4" s="51" t="s">
        <v>39</v>
      </c>
      <c r="BV4" s="51" t="s">
        <v>43</v>
      </c>
      <c r="BW4" s="51" t="s">
        <v>126</v>
      </c>
      <c r="BX4" s="51" t="s">
        <v>39</v>
      </c>
      <c r="BY4" s="51" t="s">
        <v>126</v>
      </c>
      <c r="BZ4" s="51" t="s">
        <v>46</v>
      </c>
      <c r="CA4" s="51" t="s">
        <v>126</v>
      </c>
      <c r="CB4" s="51" t="s">
        <v>126</v>
      </c>
      <c r="CC4" s="51" t="s">
        <v>126</v>
      </c>
      <c r="CD4" s="43" t="s">
        <v>42</v>
      </c>
      <c r="CE4" s="43" t="s">
        <v>42</v>
      </c>
      <c r="CF4" s="43" t="s">
        <v>42</v>
      </c>
      <c r="CG4" s="43" t="s">
        <v>40</v>
      </c>
      <c r="CH4" s="43" t="s">
        <v>41</v>
      </c>
      <c r="CI4" s="43" t="s">
        <v>245</v>
      </c>
      <c r="CJ4" s="43" t="s">
        <v>81</v>
      </c>
      <c r="CK4" s="43" t="s">
        <v>81</v>
      </c>
      <c r="CL4" s="43" t="s">
        <v>84</v>
      </c>
      <c r="CM4" s="43"/>
      <c r="CN4" s="43"/>
      <c r="CO4" s="43"/>
      <c r="CP4" s="14" t="s">
        <v>163</v>
      </c>
      <c r="CQ4" s="14" t="s">
        <v>162</v>
      </c>
      <c r="CR4" s="14" t="s">
        <v>162</v>
      </c>
      <c r="CS4" s="14" t="s">
        <v>162</v>
      </c>
      <c r="CT4" s="14" t="s">
        <v>162</v>
      </c>
      <c r="CU4" s="14" t="s">
        <v>162</v>
      </c>
      <c r="CV4" s="14" t="s">
        <v>126</v>
      </c>
      <c r="CW4" s="14" t="s">
        <v>126</v>
      </c>
      <c r="CX4" s="14" t="s">
        <v>84</v>
      </c>
      <c r="CY4" s="14" t="s">
        <v>39</v>
      </c>
      <c r="CZ4" s="14" t="s">
        <v>39</v>
      </c>
      <c r="DA4" s="14" t="s">
        <v>43</v>
      </c>
      <c r="DB4" s="14" t="s">
        <v>40</v>
      </c>
      <c r="DC4" s="14" t="s">
        <v>237</v>
      </c>
      <c r="DD4" s="14" t="s">
        <v>237</v>
      </c>
      <c r="DE4" s="14" t="s">
        <v>39</v>
      </c>
      <c r="DF4" s="14" t="s">
        <v>47</v>
      </c>
      <c r="DG4" s="14" t="s">
        <v>42</v>
      </c>
      <c r="DH4" s="14" t="s">
        <v>39</v>
      </c>
      <c r="DI4" s="14" t="s">
        <v>126</v>
      </c>
      <c r="DJ4" s="14" t="s">
        <v>42</v>
      </c>
      <c r="DK4" s="14" t="s">
        <v>46</v>
      </c>
      <c r="DL4" s="14" t="s">
        <v>45</v>
      </c>
    </row>
    <row r="5" spans="1:116" s="1" customFormat="1" ht="44.25" customHeight="1" x14ac:dyDescent="0.25">
      <c r="A5" s="47" t="s">
        <v>0</v>
      </c>
      <c r="B5" s="47" t="s">
        <v>20</v>
      </c>
      <c r="C5" s="47" t="s">
        <v>21</v>
      </c>
      <c r="D5" s="47" t="s">
        <v>22</v>
      </c>
      <c r="E5" s="47" t="s">
        <v>1</v>
      </c>
      <c r="F5" s="47" t="s">
        <v>69</v>
      </c>
      <c r="G5" s="47" t="s">
        <v>24</v>
      </c>
      <c r="H5" s="47" t="s">
        <v>23</v>
      </c>
      <c r="I5" s="47" t="s">
        <v>85</v>
      </c>
      <c r="J5" s="47" t="s">
        <v>86</v>
      </c>
      <c r="K5" s="47" t="s">
        <v>87</v>
      </c>
      <c r="L5" s="47" t="s">
        <v>88</v>
      </c>
      <c r="M5" s="47" t="s">
        <v>89</v>
      </c>
      <c r="N5" s="47" t="s">
        <v>2</v>
      </c>
      <c r="O5" s="47" t="s">
        <v>26</v>
      </c>
      <c r="P5" s="47" t="s">
        <v>75</v>
      </c>
      <c r="Q5" s="47" t="s">
        <v>72</v>
      </c>
      <c r="R5" s="47" t="s">
        <v>48</v>
      </c>
      <c r="S5" s="52" t="s">
        <v>55</v>
      </c>
      <c r="T5" s="47" t="s">
        <v>27</v>
      </c>
      <c r="U5" s="53" t="s">
        <v>51</v>
      </c>
      <c r="V5" s="53" t="s">
        <v>53</v>
      </c>
      <c r="W5" s="54" t="s">
        <v>56</v>
      </c>
      <c r="X5" s="54" t="s">
        <v>52</v>
      </c>
      <c r="Y5" s="54" t="s">
        <v>54</v>
      </c>
      <c r="Z5" s="53" t="s">
        <v>32</v>
      </c>
      <c r="AA5" s="53" t="s">
        <v>63</v>
      </c>
      <c r="AB5" s="53" t="s">
        <v>38</v>
      </c>
      <c r="AC5" s="55" t="s">
        <v>93</v>
      </c>
      <c r="AD5" s="53" t="s">
        <v>94</v>
      </c>
      <c r="AE5" s="53" t="s">
        <v>95</v>
      </c>
      <c r="AF5" s="53" t="s">
        <v>96</v>
      </c>
      <c r="AG5" s="53" t="s">
        <v>97</v>
      </c>
      <c r="AH5" s="53" t="s">
        <v>30</v>
      </c>
      <c r="AI5" s="53" t="s">
        <v>98</v>
      </c>
      <c r="AJ5" s="53" t="s">
        <v>266</v>
      </c>
      <c r="AK5" s="53" t="s">
        <v>99</v>
      </c>
      <c r="AL5" s="53" t="s">
        <v>100</v>
      </c>
      <c r="AM5" s="53" t="s">
        <v>101</v>
      </c>
      <c r="AN5" s="53" t="s">
        <v>29</v>
      </c>
      <c r="AO5" s="53" t="s">
        <v>102</v>
      </c>
      <c r="AP5" s="53" t="s">
        <v>3</v>
      </c>
      <c r="AQ5" s="53" t="s">
        <v>103</v>
      </c>
      <c r="AR5" s="53" t="s">
        <v>104</v>
      </c>
      <c r="AS5" s="53" t="s">
        <v>105</v>
      </c>
      <c r="AT5" s="53" t="s">
        <v>90</v>
      </c>
      <c r="AU5" s="53" t="s">
        <v>106</v>
      </c>
      <c r="AV5" s="53" t="s">
        <v>107</v>
      </c>
      <c r="AW5" s="53" t="s">
        <v>108</v>
      </c>
      <c r="AX5" s="53" t="s">
        <v>109</v>
      </c>
      <c r="AY5" s="53" t="s">
        <v>110</v>
      </c>
      <c r="AZ5" s="53" t="s">
        <v>92</v>
      </c>
      <c r="BA5" s="53" t="s">
        <v>111</v>
      </c>
      <c r="BB5" s="53" t="s">
        <v>112</v>
      </c>
      <c r="BC5" s="53" t="s">
        <v>113</v>
      </c>
      <c r="BD5" s="53" t="s">
        <v>114</v>
      </c>
      <c r="BE5" s="53" t="s">
        <v>115</v>
      </c>
      <c r="BF5" s="53" t="s">
        <v>116</v>
      </c>
      <c r="BG5" s="53" t="s">
        <v>117</v>
      </c>
      <c r="BH5" s="53" t="s">
        <v>118</v>
      </c>
      <c r="BI5" s="53" t="s">
        <v>119</v>
      </c>
      <c r="BJ5" s="53" t="s">
        <v>120</v>
      </c>
      <c r="BK5" s="53" t="s">
        <v>121</v>
      </c>
      <c r="BL5" s="53" t="s">
        <v>122</v>
      </c>
      <c r="BM5" s="53" t="s">
        <v>123</v>
      </c>
      <c r="BN5" s="53" t="s">
        <v>124</v>
      </c>
      <c r="BO5" s="53" t="s">
        <v>129</v>
      </c>
      <c r="BP5" s="53" t="s">
        <v>130</v>
      </c>
      <c r="BQ5" s="53" t="s">
        <v>131</v>
      </c>
      <c r="BR5" s="53" t="s">
        <v>132</v>
      </c>
      <c r="BS5" s="53" t="s">
        <v>133</v>
      </c>
      <c r="BT5" s="53" t="s">
        <v>134</v>
      </c>
      <c r="BU5" s="53" t="s">
        <v>135</v>
      </c>
      <c r="BV5" s="53" t="s">
        <v>136</v>
      </c>
      <c r="BW5" s="53" t="s">
        <v>137</v>
      </c>
      <c r="BX5" s="53" t="s">
        <v>138</v>
      </c>
      <c r="BY5" s="53" t="s">
        <v>139</v>
      </c>
      <c r="BZ5" s="53" t="s">
        <v>140</v>
      </c>
      <c r="CA5" s="53" t="s">
        <v>141</v>
      </c>
      <c r="CB5" s="53" t="s">
        <v>142</v>
      </c>
      <c r="CC5" s="53" t="s">
        <v>143</v>
      </c>
      <c r="CD5" s="47" t="s">
        <v>3</v>
      </c>
      <c r="CE5" s="47" t="s">
        <v>29</v>
      </c>
      <c r="CF5" s="47" t="s">
        <v>30</v>
      </c>
      <c r="CG5" s="47" t="s">
        <v>28</v>
      </c>
      <c r="CH5" s="47" t="s">
        <v>31</v>
      </c>
      <c r="CI5" s="47" t="s">
        <v>246</v>
      </c>
      <c r="CJ5" s="47" t="s">
        <v>79</v>
      </c>
      <c r="CK5" s="47" t="s">
        <v>80</v>
      </c>
      <c r="CL5" s="47" t="s">
        <v>82</v>
      </c>
      <c r="CM5" s="47" t="s">
        <v>145</v>
      </c>
      <c r="CN5" s="47" t="s">
        <v>146</v>
      </c>
      <c r="CO5" s="47" t="s">
        <v>240</v>
      </c>
      <c r="CP5" s="17" t="s">
        <v>152</v>
      </c>
      <c r="CQ5" s="17" t="s">
        <v>149</v>
      </c>
      <c r="CR5" s="17" t="s">
        <v>154</v>
      </c>
      <c r="CS5" s="17" t="s">
        <v>156</v>
      </c>
      <c r="CT5" s="17" t="s">
        <v>158</v>
      </c>
      <c r="CU5" s="17" t="s">
        <v>150</v>
      </c>
      <c r="CV5" s="17" t="s">
        <v>159</v>
      </c>
      <c r="CW5" s="17" t="s">
        <v>160</v>
      </c>
      <c r="CX5" s="17" t="s">
        <v>161</v>
      </c>
      <c r="CY5" s="17" t="s">
        <v>233</v>
      </c>
      <c r="CZ5" s="17" t="s">
        <v>234</v>
      </c>
      <c r="DA5" s="17" t="s">
        <v>235</v>
      </c>
      <c r="DB5" s="17" t="s">
        <v>236</v>
      </c>
      <c r="DC5" s="17" t="s">
        <v>265</v>
      </c>
      <c r="DD5" s="17" t="s">
        <v>243</v>
      </c>
      <c r="DE5" s="17" t="s">
        <v>248</v>
      </c>
      <c r="DF5" s="17" t="s">
        <v>250</v>
      </c>
      <c r="DG5" s="17" t="s">
        <v>254</v>
      </c>
      <c r="DH5" s="17" t="s">
        <v>255</v>
      </c>
      <c r="DI5" s="17" t="s">
        <v>257</v>
      </c>
      <c r="DJ5" s="17" t="s">
        <v>261</v>
      </c>
      <c r="DK5" s="17" t="s">
        <v>262</v>
      </c>
      <c r="DL5" s="17" t="s">
        <v>263</v>
      </c>
    </row>
    <row r="6" spans="1:116" s="2" customFormat="1" ht="15" x14ac:dyDescent="0.25">
      <c r="A6" s="30" t="s">
        <v>277</v>
      </c>
      <c r="B6" s="30" t="str">
        <f t="shared" ref="B6:B15" si="0">A6</f>
        <v>27082026</v>
      </c>
      <c r="C6" s="31" t="s">
        <v>267</v>
      </c>
      <c r="D6" s="32" t="s">
        <v>238</v>
      </c>
      <c r="E6" s="31" t="s">
        <v>144</v>
      </c>
      <c r="F6" s="33" t="s">
        <v>251</v>
      </c>
      <c r="G6" s="34"/>
      <c r="H6" s="34" t="s">
        <v>278</v>
      </c>
      <c r="I6" s="21"/>
      <c r="J6" s="21"/>
      <c r="K6" s="21"/>
      <c r="L6" s="21"/>
      <c r="M6" s="21"/>
      <c r="N6" s="33" t="s">
        <v>268</v>
      </c>
      <c r="O6" s="35" t="s">
        <v>292</v>
      </c>
      <c r="P6" s="33"/>
      <c r="Q6" s="36"/>
      <c r="R6" s="33"/>
      <c r="S6" s="37">
        <v>441368400</v>
      </c>
      <c r="T6" s="34" t="s">
        <v>271</v>
      </c>
      <c r="U6" s="38"/>
      <c r="V6" s="38"/>
      <c r="W6" s="39">
        <f t="shared" ref="W6:W45" si="1">S6</f>
        <v>441368400</v>
      </c>
      <c r="X6" s="40"/>
      <c r="Y6" s="40"/>
      <c r="Z6" s="30"/>
      <c r="AA6" s="33" t="s">
        <v>269</v>
      </c>
      <c r="AB6" s="30" t="str">
        <f t="shared" ref="AB6:AB7" si="2">A6</f>
        <v>27082026</v>
      </c>
      <c r="AC6" s="34" t="s">
        <v>293</v>
      </c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41" t="s">
        <v>294</v>
      </c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41" t="s">
        <v>294</v>
      </c>
      <c r="CE6" s="21"/>
      <c r="CF6" s="21"/>
      <c r="CG6" s="22"/>
      <c r="CH6" s="34" t="str">
        <f t="shared" ref="CH6:CH45" si="3">H6</f>
        <v>CN Beer SKB T8_BNC</v>
      </c>
      <c r="CI6" s="28"/>
      <c r="CJ6" s="22"/>
      <c r="CK6" s="22"/>
      <c r="CL6" s="22"/>
      <c r="CM6" s="21"/>
      <c r="CN6" s="37" t="s">
        <v>293</v>
      </c>
      <c r="CO6" s="33" t="s">
        <v>293</v>
      </c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8"/>
      <c r="DA6" s="18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</row>
    <row r="7" spans="1:116" s="2" customFormat="1" ht="15" x14ac:dyDescent="0.25">
      <c r="A7" s="22" t="s">
        <v>277</v>
      </c>
      <c r="B7" s="22" t="str">
        <f t="shared" si="0"/>
        <v>27082026</v>
      </c>
      <c r="C7" s="23" t="s">
        <v>267</v>
      </c>
      <c r="D7" s="24" t="s">
        <v>238</v>
      </c>
      <c r="E7" s="23" t="s">
        <v>144</v>
      </c>
      <c r="F7" s="21" t="s">
        <v>251</v>
      </c>
      <c r="G7" s="25"/>
      <c r="H7" s="25" t="s">
        <v>279</v>
      </c>
      <c r="I7" s="21"/>
      <c r="J7" s="21"/>
      <c r="K7" s="21"/>
      <c r="L7" s="21"/>
      <c r="M7" s="21"/>
      <c r="N7" s="21" t="s">
        <v>264</v>
      </c>
      <c r="O7" s="29" t="s">
        <v>272</v>
      </c>
      <c r="P7" s="21"/>
      <c r="Q7" s="26"/>
      <c r="R7" s="21"/>
      <c r="S7" s="11">
        <v>138279000</v>
      </c>
      <c r="T7" s="25" t="s">
        <v>271</v>
      </c>
      <c r="U7" s="19"/>
      <c r="V7" s="19"/>
      <c r="W7" s="10">
        <f t="shared" si="1"/>
        <v>138279000</v>
      </c>
      <c r="X7" s="20"/>
      <c r="Y7" s="20"/>
      <c r="Z7" s="22"/>
      <c r="AA7" s="21" t="s">
        <v>269</v>
      </c>
      <c r="AB7" s="22" t="str">
        <f t="shared" si="2"/>
        <v>27082026</v>
      </c>
      <c r="AC7" s="25" t="s">
        <v>292</v>
      </c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7" t="s">
        <v>294</v>
      </c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 t="s">
        <v>294</v>
      </c>
      <c r="CE7" s="21"/>
      <c r="CF7" s="21"/>
      <c r="CG7" s="22"/>
      <c r="CH7" s="25" t="str">
        <f t="shared" si="3"/>
        <v>Bia Golden Bridge Helles Lager</v>
      </c>
      <c r="CI7" s="28"/>
      <c r="CJ7" s="22"/>
      <c r="CK7" s="22"/>
      <c r="CL7" s="22"/>
      <c r="CM7" s="21"/>
      <c r="CN7" s="11">
        <v>4609.2999999999993</v>
      </c>
      <c r="CO7" s="21" t="s">
        <v>273</v>
      </c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8"/>
      <c r="DA7" s="18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</row>
    <row r="8" spans="1:116" s="2" customFormat="1" ht="15" x14ac:dyDescent="0.25">
      <c r="A8" s="22" t="s">
        <v>277</v>
      </c>
      <c r="B8" s="22" t="str">
        <f t="shared" si="0"/>
        <v>27082026</v>
      </c>
      <c r="C8" s="23" t="s">
        <v>267</v>
      </c>
      <c r="D8" s="24" t="s">
        <v>238</v>
      </c>
      <c r="E8" s="23" t="s">
        <v>144</v>
      </c>
      <c r="F8" s="21" t="s">
        <v>251</v>
      </c>
      <c r="G8" s="25"/>
      <c r="H8" s="25" t="s">
        <v>275</v>
      </c>
      <c r="I8" s="21"/>
      <c r="J8" s="21"/>
      <c r="K8" s="21"/>
      <c r="L8" s="21"/>
      <c r="M8" s="21"/>
      <c r="N8" s="21" t="s">
        <v>264</v>
      </c>
      <c r="O8" s="29" t="s">
        <v>272</v>
      </c>
      <c r="P8" s="21"/>
      <c r="Q8" s="26"/>
      <c r="R8" s="21"/>
      <c r="S8" s="11">
        <v>70452000</v>
      </c>
      <c r="T8" s="25" t="s">
        <v>271</v>
      </c>
      <c r="U8" s="19"/>
      <c r="V8" s="19"/>
      <c r="W8" s="10">
        <f t="shared" si="1"/>
        <v>70452000</v>
      </c>
      <c r="X8" s="20"/>
      <c r="Y8" s="20"/>
      <c r="Z8" s="22"/>
      <c r="AA8" s="21" t="s">
        <v>269</v>
      </c>
      <c r="AB8" s="22" t="str">
        <f t="shared" ref="AB8:AB45" si="4">A8</f>
        <v>27082026</v>
      </c>
      <c r="AC8" s="25" t="s">
        <v>292</v>
      </c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7" t="s">
        <v>294</v>
      </c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 t="s">
        <v>294</v>
      </c>
      <c r="CE8" s="21"/>
      <c r="CF8" s="21"/>
      <c r="CG8" s="22"/>
      <c r="CH8" s="25" t="str">
        <f t="shared" si="3"/>
        <v>Bia Lunar Castle Dry hop Pale Ale</v>
      </c>
      <c r="CI8" s="28"/>
      <c r="CJ8" s="22"/>
      <c r="CK8" s="22"/>
      <c r="CL8" s="22"/>
      <c r="CM8" s="21"/>
      <c r="CN8" s="11">
        <v>2348.4000000000005</v>
      </c>
      <c r="CO8" s="21" t="s">
        <v>273</v>
      </c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8"/>
      <c r="DA8" s="18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</row>
    <row r="9" spans="1:116" s="2" customFormat="1" ht="15" x14ac:dyDescent="0.25">
      <c r="A9" s="22" t="s">
        <v>277</v>
      </c>
      <c r="B9" s="22" t="str">
        <f t="shared" si="0"/>
        <v>27082026</v>
      </c>
      <c r="C9" s="23" t="s">
        <v>267</v>
      </c>
      <c r="D9" s="24" t="s">
        <v>238</v>
      </c>
      <c r="E9" s="23" t="s">
        <v>144</v>
      </c>
      <c r="F9" s="21" t="s">
        <v>251</v>
      </c>
      <c r="G9" s="25"/>
      <c r="H9" s="25" t="s">
        <v>274</v>
      </c>
      <c r="I9" s="21"/>
      <c r="J9" s="21"/>
      <c r="K9" s="21"/>
      <c r="L9" s="21"/>
      <c r="M9" s="21"/>
      <c r="N9" s="21" t="s">
        <v>264</v>
      </c>
      <c r="O9" s="29" t="s">
        <v>272</v>
      </c>
      <c r="P9" s="21"/>
      <c r="Q9" s="26"/>
      <c r="R9" s="21"/>
      <c r="S9" s="11">
        <v>49929000</v>
      </c>
      <c r="T9" s="25" t="s">
        <v>271</v>
      </c>
      <c r="U9" s="19"/>
      <c r="V9" s="19"/>
      <c r="W9" s="10">
        <f t="shared" si="1"/>
        <v>49929000</v>
      </c>
      <c r="X9" s="20"/>
      <c r="Y9" s="20"/>
      <c r="Z9" s="22"/>
      <c r="AA9" s="21" t="s">
        <v>269</v>
      </c>
      <c r="AB9" s="22" t="str">
        <f t="shared" si="4"/>
        <v>27082026</v>
      </c>
      <c r="AC9" s="25" t="s">
        <v>292</v>
      </c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7" t="s">
        <v>294</v>
      </c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 t="s">
        <v>294</v>
      </c>
      <c r="CE9" s="21"/>
      <c r="CF9" s="21"/>
      <c r="CG9" s="22"/>
      <c r="CH9" s="25" t="str">
        <f t="shared" si="3"/>
        <v>Bia Wings Dark Lager</v>
      </c>
      <c r="CI9" s="28"/>
      <c r="CJ9" s="22"/>
      <c r="CK9" s="22"/>
      <c r="CL9" s="22"/>
      <c r="CM9" s="21"/>
      <c r="CN9" s="11">
        <v>1664.3000000000002</v>
      </c>
      <c r="CO9" s="21" t="s">
        <v>273</v>
      </c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8"/>
      <c r="DA9" s="18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</row>
    <row r="10" spans="1:116" s="2" customFormat="1" ht="15" x14ac:dyDescent="0.25">
      <c r="A10" s="22" t="s">
        <v>277</v>
      </c>
      <c r="B10" s="22" t="str">
        <f t="shared" si="0"/>
        <v>27082026</v>
      </c>
      <c r="C10" s="23" t="s">
        <v>267</v>
      </c>
      <c r="D10" s="24" t="s">
        <v>238</v>
      </c>
      <c r="E10" s="23" t="s">
        <v>144</v>
      </c>
      <c r="F10" s="21" t="s">
        <v>251</v>
      </c>
      <c r="G10" s="25"/>
      <c r="H10" s="25" t="s">
        <v>280</v>
      </c>
      <c r="I10" s="21"/>
      <c r="J10" s="21"/>
      <c r="K10" s="21"/>
      <c r="L10" s="21"/>
      <c r="M10" s="21"/>
      <c r="N10" s="21" t="s">
        <v>264</v>
      </c>
      <c r="O10" s="29" t="s">
        <v>272</v>
      </c>
      <c r="P10" s="21"/>
      <c r="Q10" s="26"/>
      <c r="R10" s="21"/>
      <c r="S10" s="11">
        <v>20352000</v>
      </c>
      <c r="T10" s="25" t="s">
        <v>271</v>
      </c>
      <c r="U10" s="19"/>
      <c r="V10" s="19"/>
      <c r="W10" s="10">
        <f t="shared" si="1"/>
        <v>20352000</v>
      </c>
      <c r="X10" s="20"/>
      <c r="Y10" s="20"/>
      <c r="Z10" s="22"/>
      <c r="AA10" s="21" t="s">
        <v>269</v>
      </c>
      <c r="AB10" s="22" t="str">
        <f t="shared" si="4"/>
        <v>27082026</v>
      </c>
      <c r="AC10" s="25" t="s">
        <v>292</v>
      </c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7" t="s">
        <v>294</v>
      </c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 t="s">
        <v>294</v>
      </c>
      <c r="CE10" s="21"/>
      <c r="CF10" s="21"/>
      <c r="CG10" s="22"/>
      <c r="CH10" s="25" t="str">
        <f t="shared" si="3"/>
        <v>Bia Volcano Kiss dry hop lager</v>
      </c>
      <c r="CI10" s="28"/>
      <c r="CJ10" s="22"/>
      <c r="CK10" s="22"/>
      <c r="CL10" s="22"/>
      <c r="CM10" s="21"/>
      <c r="CN10" s="11">
        <v>678.4</v>
      </c>
      <c r="CO10" s="21" t="s">
        <v>273</v>
      </c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8"/>
      <c r="DA10" s="18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</row>
    <row r="11" spans="1:116" s="2" customFormat="1" ht="15" x14ac:dyDescent="0.25">
      <c r="A11" s="22" t="s">
        <v>277</v>
      </c>
      <c r="B11" s="22" t="str">
        <f t="shared" si="0"/>
        <v>27082026</v>
      </c>
      <c r="C11" s="23" t="s">
        <v>267</v>
      </c>
      <c r="D11" s="24" t="s">
        <v>238</v>
      </c>
      <c r="E11" s="23" t="s">
        <v>144</v>
      </c>
      <c r="F11" s="21" t="s">
        <v>251</v>
      </c>
      <c r="G11" s="25"/>
      <c r="H11" s="25" t="s">
        <v>281</v>
      </c>
      <c r="I11" s="21"/>
      <c r="J11" s="21"/>
      <c r="K11" s="21"/>
      <c r="L11" s="21"/>
      <c r="M11" s="21"/>
      <c r="N11" s="21" t="s">
        <v>264</v>
      </c>
      <c r="O11" s="29" t="s">
        <v>272</v>
      </c>
      <c r="P11" s="21"/>
      <c r="Q11" s="26"/>
      <c r="R11" s="21"/>
      <c r="S11" s="11">
        <v>82536000</v>
      </c>
      <c r="T11" s="25" t="s">
        <v>271</v>
      </c>
      <c r="U11" s="19"/>
      <c r="V11" s="19"/>
      <c r="W11" s="10">
        <f t="shared" si="1"/>
        <v>82536000</v>
      </c>
      <c r="X11" s="20"/>
      <c r="Y11" s="20"/>
      <c r="Z11" s="22"/>
      <c r="AA11" s="21" t="s">
        <v>269</v>
      </c>
      <c r="AB11" s="22" t="str">
        <f t="shared" si="4"/>
        <v>27082026</v>
      </c>
      <c r="AC11" s="25" t="s">
        <v>292</v>
      </c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7" t="s">
        <v>294</v>
      </c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 t="s">
        <v>294</v>
      </c>
      <c r="CE11" s="21"/>
      <c r="CF11" s="21"/>
      <c r="CG11" s="22"/>
      <c r="CH11" s="25" t="str">
        <f t="shared" si="3"/>
        <v>Bia Helios Wheat Lager</v>
      </c>
      <c r="CI11" s="28"/>
      <c r="CJ11" s="22"/>
      <c r="CK11" s="22"/>
      <c r="CL11" s="22"/>
      <c r="CM11" s="21"/>
      <c r="CN11" s="11">
        <v>2751.2000000000003</v>
      </c>
      <c r="CO11" s="21" t="s">
        <v>273</v>
      </c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8"/>
      <c r="DA11" s="18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</row>
    <row r="12" spans="1:116" s="2" customFormat="1" ht="15" x14ac:dyDescent="0.25">
      <c r="A12" s="22" t="s">
        <v>277</v>
      </c>
      <c r="B12" s="22" t="str">
        <f t="shared" si="0"/>
        <v>27082026</v>
      </c>
      <c r="C12" s="23" t="s">
        <v>267</v>
      </c>
      <c r="D12" s="24" t="s">
        <v>238</v>
      </c>
      <c r="E12" s="23" t="s">
        <v>144</v>
      </c>
      <c r="F12" s="21" t="s">
        <v>251</v>
      </c>
      <c r="G12" s="25"/>
      <c r="H12" s="25" t="s">
        <v>282</v>
      </c>
      <c r="I12" s="21"/>
      <c r="J12" s="21"/>
      <c r="K12" s="21"/>
      <c r="L12" s="21"/>
      <c r="M12" s="21"/>
      <c r="N12" s="21" t="s">
        <v>264</v>
      </c>
      <c r="O12" s="29" t="s">
        <v>272</v>
      </c>
      <c r="P12" s="21"/>
      <c r="Q12" s="26"/>
      <c r="R12" s="21"/>
      <c r="S12" s="11">
        <v>10464000</v>
      </c>
      <c r="T12" s="25" t="s">
        <v>271</v>
      </c>
      <c r="U12" s="19"/>
      <c r="V12" s="19"/>
      <c r="W12" s="10">
        <f t="shared" si="1"/>
        <v>10464000</v>
      </c>
      <c r="X12" s="20"/>
      <c r="Y12" s="20"/>
      <c r="Z12" s="22"/>
      <c r="AA12" s="21" t="s">
        <v>269</v>
      </c>
      <c r="AB12" s="22" t="str">
        <f t="shared" si="4"/>
        <v>27082026</v>
      </c>
      <c r="AC12" s="25" t="s">
        <v>292</v>
      </c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7" t="s">
        <v>294</v>
      </c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 t="s">
        <v>294</v>
      </c>
      <c r="CE12" s="21"/>
      <c r="CF12" s="21"/>
      <c r="CG12" s="22"/>
      <c r="CH12" s="25" t="str">
        <f t="shared" si="3"/>
        <v>Bia Eclipse Plaza Dry Hop Wheat VN</v>
      </c>
      <c r="CI12" s="28"/>
      <c r="CJ12" s="22"/>
      <c r="CK12" s="22"/>
      <c r="CL12" s="22"/>
      <c r="CM12" s="21"/>
      <c r="CN12" s="11">
        <v>348.8</v>
      </c>
      <c r="CO12" s="21" t="s">
        <v>273</v>
      </c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8"/>
      <c r="DA12" s="18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</row>
    <row r="13" spans="1:116" s="2" customFormat="1" ht="15" x14ac:dyDescent="0.25">
      <c r="A13" s="22" t="s">
        <v>277</v>
      </c>
      <c r="B13" s="22" t="str">
        <f t="shared" si="0"/>
        <v>27082026</v>
      </c>
      <c r="C13" s="23" t="s">
        <v>267</v>
      </c>
      <c r="D13" s="24" t="s">
        <v>238</v>
      </c>
      <c r="E13" s="23" t="s">
        <v>144</v>
      </c>
      <c r="F13" s="21" t="s">
        <v>251</v>
      </c>
      <c r="G13" s="25"/>
      <c r="H13" s="25" t="s">
        <v>283</v>
      </c>
      <c r="I13" s="21"/>
      <c r="J13" s="21"/>
      <c r="K13" s="21"/>
      <c r="L13" s="21"/>
      <c r="M13" s="21"/>
      <c r="N13" s="21" t="s">
        <v>264</v>
      </c>
      <c r="O13" s="29" t="s">
        <v>272</v>
      </c>
      <c r="P13" s="21"/>
      <c r="Q13" s="26"/>
      <c r="R13" s="21"/>
      <c r="S13" s="11">
        <v>7392000</v>
      </c>
      <c r="T13" s="25" t="s">
        <v>271</v>
      </c>
      <c r="U13" s="19"/>
      <c r="V13" s="19"/>
      <c r="W13" s="10">
        <f t="shared" si="1"/>
        <v>7392000</v>
      </c>
      <c r="X13" s="20"/>
      <c r="Y13" s="20"/>
      <c r="Z13" s="22"/>
      <c r="AA13" s="21" t="s">
        <v>269</v>
      </c>
      <c r="AB13" s="22" t="str">
        <f t="shared" si="4"/>
        <v>27082026</v>
      </c>
      <c r="AC13" s="25" t="s">
        <v>292</v>
      </c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7" t="s">
        <v>294</v>
      </c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 t="s">
        <v>294</v>
      </c>
      <c r="CE13" s="21"/>
      <c r="CF13" s="21"/>
      <c r="CG13" s="22"/>
      <c r="CH13" s="25" t="str">
        <f t="shared" si="3"/>
        <v>Bia Golden Bridge Helles Lager lon330ml</v>
      </c>
      <c r="CI13" s="28"/>
      <c r="CJ13" s="22"/>
      <c r="CK13" s="22"/>
      <c r="CL13" s="22"/>
      <c r="CM13" s="21"/>
      <c r="CN13" s="11">
        <v>528</v>
      </c>
      <c r="CO13" s="21" t="s">
        <v>276</v>
      </c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8"/>
      <c r="DA13" s="18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</row>
    <row r="14" spans="1:116" s="2" customFormat="1" ht="15" x14ac:dyDescent="0.25">
      <c r="A14" s="22" t="s">
        <v>277</v>
      </c>
      <c r="B14" s="22" t="str">
        <f t="shared" si="0"/>
        <v>27082026</v>
      </c>
      <c r="C14" s="23" t="s">
        <v>267</v>
      </c>
      <c r="D14" s="24" t="s">
        <v>238</v>
      </c>
      <c r="E14" s="23" t="s">
        <v>144</v>
      </c>
      <c r="F14" s="21" t="s">
        <v>251</v>
      </c>
      <c r="G14" s="25"/>
      <c r="H14" s="25" t="s">
        <v>284</v>
      </c>
      <c r="I14" s="21"/>
      <c r="J14" s="21"/>
      <c r="K14" s="21"/>
      <c r="L14" s="21"/>
      <c r="M14" s="21"/>
      <c r="N14" s="21" t="s">
        <v>264</v>
      </c>
      <c r="O14" s="29" t="s">
        <v>272</v>
      </c>
      <c r="P14" s="21"/>
      <c r="Q14" s="26"/>
      <c r="R14" s="21"/>
      <c r="S14" s="11">
        <v>8064000</v>
      </c>
      <c r="T14" s="25" t="s">
        <v>271</v>
      </c>
      <c r="U14" s="19"/>
      <c r="V14" s="19"/>
      <c r="W14" s="10">
        <f t="shared" si="1"/>
        <v>8064000</v>
      </c>
      <c r="X14" s="20"/>
      <c r="Y14" s="20"/>
      <c r="Z14" s="22"/>
      <c r="AA14" s="21" t="s">
        <v>269</v>
      </c>
      <c r="AB14" s="22" t="str">
        <f t="shared" si="4"/>
        <v>27082026</v>
      </c>
      <c r="AC14" s="25" t="s">
        <v>292</v>
      </c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7" t="s">
        <v>294</v>
      </c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 t="s">
        <v>294</v>
      </c>
      <c r="CE14" s="21"/>
      <c r="CF14" s="21"/>
      <c r="CG14" s="22"/>
      <c r="CH14" s="25" t="str">
        <f t="shared" si="3"/>
        <v>Bia Lunar Castle Dry hop Pale Ale 330ml</v>
      </c>
      <c r="CI14" s="28"/>
      <c r="CJ14" s="22"/>
      <c r="CK14" s="22"/>
      <c r="CL14" s="22"/>
      <c r="CM14" s="21"/>
      <c r="CN14" s="11">
        <v>576</v>
      </c>
      <c r="CO14" s="21" t="s">
        <v>276</v>
      </c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8"/>
      <c r="DA14" s="18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</row>
    <row r="15" spans="1:116" s="2" customFormat="1" ht="15" x14ac:dyDescent="0.25">
      <c r="A15" s="22" t="s">
        <v>277</v>
      </c>
      <c r="B15" s="22" t="str">
        <f t="shared" si="0"/>
        <v>27082026</v>
      </c>
      <c r="C15" s="23" t="s">
        <v>267</v>
      </c>
      <c r="D15" s="24" t="s">
        <v>238</v>
      </c>
      <c r="E15" s="23" t="s">
        <v>144</v>
      </c>
      <c r="F15" s="21" t="s">
        <v>251</v>
      </c>
      <c r="G15" s="25"/>
      <c r="H15" s="25" t="s">
        <v>285</v>
      </c>
      <c r="I15" s="21"/>
      <c r="J15" s="21"/>
      <c r="K15" s="21"/>
      <c r="L15" s="21"/>
      <c r="M15" s="21"/>
      <c r="N15" s="21" t="s">
        <v>264</v>
      </c>
      <c r="O15" s="29" t="s">
        <v>272</v>
      </c>
      <c r="P15" s="21"/>
      <c r="Q15" s="26"/>
      <c r="R15" s="21"/>
      <c r="S15" s="11">
        <v>13776000</v>
      </c>
      <c r="T15" s="25" t="s">
        <v>271</v>
      </c>
      <c r="U15" s="19"/>
      <c r="V15" s="19"/>
      <c r="W15" s="10">
        <f t="shared" si="1"/>
        <v>13776000</v>
      </c>
      <c r="X15" s="20"/>
      <c r="Y15" s="20"/>
      <c r="Z15" s="22"/>
      <c r="AA15" s="21" t="s">
        <v>269</v>
      </c>
      <c r="AB15" s="22" t="str">
        <f t="shared" si="4"/>
        <v>27082026</v>
      </c>
      <c r="AC15" s="25" t="s">
        <v>292</v>
      </c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7" t="s">
        <v>294</v>
      </c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 t="s">
        <v>294</v>
      </c>
      <c r="CE15" s="21"/>
      <c r="CF15" s="21"/>
      <c r="CG15" s="22"/>
      <c r="CH15" s="25" t="str">
        <f t="shared" si="3"/>
        <v>Bia Wings Dark Lager 330ml</v>
      </c>
      <c r="CI15" s="28"/>
      <c r="CJ15" s="22"/>
      <c r="CK15" s="22"/>
      <c r="CL15" s="22"/>
      <c r="CM15" s="21"/>
      <c r="CN15" s="11">
        <v>984</v>
      </c>
      <c r="CO15" s="21" t="s">
        <v>276</v>
      </c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8"/>
      <c r="DA15" s="18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</row>
    <row r="16" spans="1:116" s="2" customFormat="1" ht="15" x14ac:dyDescent="0.25">
      <c r="A16" s="22" t="s">
        <v>277</v>
      </c>
      <c r="B16" s="22" t="str">
        <f t="shared" ref="B16:B45" si="5">A16</f>
        <v>27082026</v>
      </c>
      <c r="C16" s="23" t="s">
        <v>267</v>
      </c>
      <c r="D16" s="24" t="s">
        <v>238</v>
      </c>
      <c r="E16" s="23" t="s">
        <v>144</v>
      </c>
      <c r="F16" s="21" t="s">
        <v>251</v>
      </c>
      <c r="G16" s="25"/>
      <c r="H16" s="25" t="s">
        <v>278</v>
      </c>
      <c r="I16" s="21"/>
      <c r="J16" s="21"/>
      <c r="K16" s="21"/>
      <c r="L16" s="21"/>
      <c r="M16" s="21"/>
      <c r="N16" s="21" t="s">
        <v>264</v>
      </c>
      <c r="O16" s="29" t="s">
        <v>270</v>
      </c>
      <c r="P16" s="21"/>
      <c r="Q16" s="26"/>
      <c r="R16" s="21"/>
      <c r="S16" s="11">
        <v>40124400</v>
      </c>
      <c r="T16" s="25" t="s">
        <v>271</v>
      </c>
      <c r="U16" s="19">
        <f>S16</f>
        <v>40124400</v>
      </c>
      <c r="V16" s="19">
        <f>U16/0.1</f>
        <v>401244000</v>
      </c>
      <c r="W16" s="10">
        <f t="shared" si="1"/>
        <v>40124400</v>
      </c>
      <c r="X16" s="20"/>
      <c r="Y16" s="20"/>
      <c r="Z16" s="22"/>
      <c r="AA16" s="21" t="s">
        <v>269</v>
      </c>
      <c r="AB16" s="22" t="str">
        <f t="shared" si="4"/>
        <v>27082026</v>
      </c>
      <c r="AC16" s="25" t="s">
        <v>292</v>
      </c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7" t="s">
        <v>294</v>
      </c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 t="s">
        <v>294</v>
      </c>
      <c r="CE16" s="21"/>
      <c r="CF16" s="21"/>
      <c r="CG16" s="22"/>
      <c r="CH16" s="25" t="str">
        <f t="shared" si="3"/>
        <v>CN Beer SKB T8_BNC</v>
      </c>
      <c r="CI16" s="28"/>
      <c r="CJ16" s="22"/>
      <c r="CK16" s="22"/>
      <c r="CL16" s="22"/>
      <c r="CM16" s="21"/>
      <c r="CN16" s="11" t="s">
        <v>293</v>
      </c>
      <c r="CO16" s="21" t="s">
        <v>293</v>
      </c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8"/>
      <c r="DA16" s="18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</row>
    <row r="17" spans="1:116" s="2" customFormat="1" ht="15" x14ac:dyDescent="0.25">
      <c r="A17" s="30" t="s">
        <v>277</v>
      </c>
      <c r="B17" s="30" t="str">
        <f t="shared" si="5"/>
        <v>27082026</v>
      </c>
      <c r="C17" s="31" t="s">
        <v>267</v>
      </c>
      <c r="D17" s="32" t="s">
        <v>238</v>
      </c>
      <c r="E17" s="31" t="s">
        <v>144</v>
      </c>
      <c r="F17" s="33" t="s">
        <v>251</v>
      </c>
      <c r="G17" s="34"/>
      <c r="H17" s="34" t="s">
        <v>286</v>
      </c>
      <c r="I17" s="21"/>
      <c r="J17" s="21"/>
      <c r="K17" s="21"/>
      <c r="L17" s="21"/>
      <c r="M17" s="21"/>
      <c r="N17" s="33" t="s">
        <v>268</v>
      </c>
      <c r="O17" s="35" t="s">
        <v>292</v>
      </c>
      <c r="P17" s="33"/>
      <c r="Q17" s="36"/>
      <c r="R17" s="33"/>
      <c r="S17" s="37">
        <v>7920000</v>
      </c>
      <c r="T17" s="34" t="s">
        <v>271</v>
      </c>
      <c r="U17" s="38"/>
      <c r="V17" s="38"/>
      <c r="W17" s="39">
        <f t="shared" si="1"/>
        <v>7920000</v>
      </c>
      <c r="X17" s="40"/>
      <c r="Y17" s="40"/>
      <c r="Z17" s="30"/>
      <c r="AA17" s="33" t="s">
        <v>269</v>
      </c>
      <c r="AB17" s="30" t="str">
        <f t="shared" si="4"/>
        <v>27082026</v>
      </c>
      <c r="AC17" s="34" t="s">
        <v>293</v>
      </c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41" t="s">
        <v>294</v>
      </c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41" t="s">
        <v>294</v>
      </c>
      <c r="CE17" s="21"/>
      <c r="CF17" s="21"/>
      <c r="CG17" s="22"/>
      <c r="CH17" s="34" t="str">
        <f t="shared" si="3"/>
        <v>CN Beer SKB T8_Capella</v>
      </c>
      <c r="CI17" s="28"/>
      <c r="CJ17" s="22"/>
      <c r="CK17" s="22"/>
      <c r="CL17" s="22"/>
      <c r="CM17" s="21"/>
      <c r="CN17" s="37" t="s">
        <v>293</v>
      </c>
      <c r="CO17" s="33" t="s">
        <v>293</v>
      </c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8"/>
      <c r="DA17" s="18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</row>
    <row r="18" spans="1:116" s="2" customFormat="1" ht="15" x14ac:dyDescent="0.25">
      <c r="A18" s="22" t="s">
        <v>277</v>
      </c>
      <c r="B18" s="22" t="str">
        <f t="shared" si="5"/>
        <v>27082026</v>
      </c>
      <c r="C18" s="23" t="s">
        <v>267</v>
      </c>
      <c r="D18" s="24" t="s">
        <v>238</v>
      </c>
      <c r="E18" s="23" t="s">
        <v>144</v>
      </c>
      <c r="F18" s="21" t="s">
        <v>251</v>
      </c>
      <c r="G18" s="25"/>
      <c r="H18" s="25" t="s">
        <v>279</v>
      </c>
      <c r="I18" s="21"/>
      <c r="J18" s="21"/>
      <c r="K18" s="21"/>
      <c r="L18" s="21"/>
      <c r="M18" s="21"/>
      <c r="N18" s="21" t="s">
        <v>264</v>
      </c>
      <c r="O18" s="29" t="s">
        <v>272</v>
      </c>
      <c r="P18" s="21"/>
      <c r="Q18" s="26"/>
      <c r="R18" s="21"/>
      <c r="S18" s="11">
        <v>4800000</v>
      </c>
      <c r="T18" s="25" t="s">
        <v>271</v>
      </c>
      <c r="U18" s="19"/>
      <c r="V18" s="19"/>
      <c r="W18" s="10">
        <f t="shared" si="1"/>
        <v>4800000</v>
      </c>
      <c r="X18" s="20"/>
      <c r="Y18" s="20"/>
      <c r="Z18" s="22"/>
      <c r="AA18" s="21" t="s">
        <v>269</v>
      </c>
      <c r="AB18" s="22" t="str">
        <f t="shared" si="4"/>
        <v>27082026</v>
      </c>
      <c r="AC18" s="25" t="s">
        <v>292</v>
      </c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7" t="s">
        <v>294</v>
      </c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 t="s">
        <v>294</v>
      </c>
      <c r="CE18" s="21"/>
      <c r="CF18" s="21"/>
      <c r="CG18" s="22"/>
      <c r="CH18" s="25" t="str">
        <f t="shared" si="3"/>
        <v>Bia Golden Bridge Helles Lager</v>
      </c>
      <c r="CI18" s="28"/>
      <c r="CJ18" s="22"/>
      <c r="CK18" s="22"/>
      <c r="CL18" s="22"/>
      <c r="CM18" s="21"/>
      <c r="CN18" s="11">
        <v>160</v>
      </c>
      <c r="CO18" s="21" t="s">
        <v>273</v>
      </c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8"/>
      <c r="DA18" s="18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</row>
    <row r="19" spans="1:116" s="2" customFormat="1" ht="15" x14ac:dyDescent="0.25">
      <c r="A19" s="22" t="s">
        <v>277</v>
      </c>
      <c r="B19" s="22" t="str">
        <f t="shared" si="5"/>
        <v>27082026</v>
      </c>
      <c r="C19" s="23" t="s">
        <v>267</v>
      </c>
      <c r="D19" s="24" t="s">
        <v>238</v>
      </c>
      <c r="E19" s="23" t="s">
        <v>144</v>
      </c>
      <c r="F19" s="21" t="s">
        <v>251</v>
      </c>
      <c r="G19" s="25"/>
      <c r="H19" s="25" t="s">
        <v>275</v>
      </c>
      <c r="I19" s="21"/>
      <c r="J19" s="21"/>
      <c r="K19" s="21"/>
      <c r="L19" s="21"/>
      <c r="M19" s="21"/>
      <c r="N19" s="21" t="s">
        <v>264</v>
      </c>
      <c r="O19" s="29" t="s">
        <v>272</v>
      </c>
      <c r="P19" s="21"/>
      <c r="Q19" s="26"/>
      <c r="R19" s="21"/>
      <c r="S19" s="11">
        <v>1200000</v>
      </c>
      <c r="T19" s="25" t="s">
        <v>271</v>
      </c>
      <c r="U19" s="19"/>
      <c r="V19" s="19"/>
      <c r="W19" s="10">
        <f t="shared" si="1"/>
        <v>1200000</v>
      </c>
      <c r="X19" s="20"/>
      <c r="Y19" s="20"/>
      <c r="Z19" s="22"/>
      <c r="AA19" s="21" t="s">
        <v>269</v>
      </c>
      <c r="AB19" s="22" t="str">
        <f t="shared" si="4"/>
        <v>27082026</v>
      </c>
      <c r="AC19" s="25" t="s">
        <v>292</v>
      </c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7" t="s">
        <v>294</v>
      </c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 t="s">
        <v>294</v>
      </c>
      <c r="CE19" s="21"/>
      <c r="CF19" s="21"/>
      <c r="CG19" s="22"/>
      <c r="CH19" s="25" t="str">
        <f t="shared" si="3"/>
        <v>Bia Lunar Castle Dry hop Pale Ale</v>
      </c>
      <c r="CI19" s="28"/>
      <c r="CJ19" s="22"/>
      <c r="CK19" s="22"/>
      <c r="CL19" s="22"/>
      <c r="CM19" s="21"/>
      <c r="CN19" s="11">
        <v>40</v>
      </c>
      <c r="CO19" s="21" t="s">
        <v>273</v>
      </c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8"/>
      <c r="DA19" s="18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</row>
    <row r="20" spans="1:116" s="2" customFormat="1" ht="15" x14ac:dyDescent="0.25">
      <c r="A20" s="22" t="s">
        <v>277</v>
      </c>
      <c r="B20" s="22" t="str">
        <f t="shared" si="5"/>
        <v>27082026</v>
      </c>
      <c r="C20" s="23" t="s">
        <v>267</v>
      </c>
      <c r="D20" s="24" t="s">
        <v>238</v>
      </c>
      <c r="E20" s="23" t="s">
        <v>144</v>
      </c>
      <c r="F20" s="21" t="s">
        <v>251</v>
      </c>
      <c r="G20" s="25"/>
      <c r="H20" s="25" t="s">
        <v>274</v>
      </c>
      <c r="I20" s="21"/>
      <c r="J20" s="21"/>
      <c r="K20" s="21"/>
      <c r="L20" s="21"/>
      <c r="M20" s="21"/>
      <c r="N20" s="21" t="s">
        <v>264</v>
      </c>
      <c r="O20" s="29" t="s">
        <v>272</v>
      </c>
      <c r="P20" s="21"/>
      <c r="Q20" s="26"/>
      <c r="R20" s="21"/>
      <c r="S20" s="11">
        <v>1200000</v>
      </c>
      <c r="T20" s="25" t="s">
        <v>271</v>
      </c>
      <c r="U20" s="19"/>
      <c r="V20" s="19"/>
      <c r="W20" s="10">
        <f t="shared" si="1"/>
        <v>1200000</v>
      </c>
      <c r="X20" s="20"/>
      <c r="Y20" s="20"/>
      <c r="Z20" s="22"/>
      <c r="AA20" s="21" t="s">
        <v>269</v>
      </c>
      <c r="AB20" s="22" t="str">
        <f t="shared" si="4"/>
        <v>27082026</v>
      </c>
      <c r="AC20" s="25" t="s">
        <v>292</v>
      </c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7" t="s">
        <v>294</v>
      </c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 t="s">
        <v>294</v>
      </c>
      <c r="CE20" s="21"/>
      <c r="CF20" s="21"/>
      <c r="CG20" s="22"/>
      <c r="CH20" s="25" t="str">
        <f t="shared" si="3"/>
        <v>Bia Wings Dark Lager</v>
      </c>
      <c r="CI20" s="28"/>
      <c r="CJ20" s="22"/>
      <c r="CK20" s="22"/>
      <c r="CL20" s="22"/>
      <c r="CM20" s="21"/>
      <c r="CN20" s="11">
        <v>40</v>
      </c>
      <c r="CO20" s="21" t="s">
        <v>273</v>
      </c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8"/>
      <c r="DA20" s="18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</row>
    <row r="21" spans="1:116" s="2" customFormat="1" ht="15" x14ac:dyDescent="0.25">
      <c r="A21" s="22" t="s">
        <v>277</v>
      </c>
      <c r="B21" s="22" t="str">
        <f t="shared" si="5"/>
        <v>27082026</v>
      </c>
      <c r="C21" s="23" t="s">
        <v>267</v>
      </c>
      <c r="D21" s="24" t="s">
        <v>238</v>
      </c>
      <c r="E21" s="23" t="s">
        <v>144</v>
      </c>
      <c r="F21" s="21" t="s">
        <v>251</v>
      </c>
      <c r="G21" s="25"/>
      <c r="H21" s="25" t="s">
        <v>286</v>
      </c>
      <c r="I21" s="21"/>
      <c r="J21" s="21"/>
      <c r="K21" s="21"/>
      <c r="L21" s="21"/>
      <c r="M21" s="21"/>
      <c r="N21" s="21" t="s">
        <v>264</v>
      </c>
      <c r="O21" s="29" t="s">
        <v>270</v>
      </c>
      <c r="P21" s="21"/>
      <c r="Q21" s="26"/>
      <c r="R21" s="21"/>
      <c r="S21" s="11">
        <v>720000</v>
      </c>
      <c r="T21" s="25" t="s">
        <v>271</v>
      </c>
      <c r="U21" s="19">
        <f>S21</f>
        <v>720000</v>
      </c>
      <c r="V21" s="19">
        <f>U21/0.1</f>
        <v>7200000</v>
      </c>
      <c r="W21" s="10">
        <f t="shared" si="1"/>
        <v>720000</v>
      </c>
      <c r="X21" s="20"/>
      <c r="Y21" s="20"/>
      <c r="Z21" s="22"/>
      <c r="AA21" s="21" t="s">
        <v>269</v>
      </c>
      <c r="AB21" s="22" t="str">
        <f t="shared" si="4"/>
        <v>27082026</v>
      </c>
      <c r="AC21" s="25" t="s">
        <v>292</v>
      </c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7" t="s">
        <v>294</v>
      </c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 t="s">
        <v>294</v>
      </c>
      <c r="CE21" s="21"/>
      <c r="CF21" s="21"/>
      <c r="CG21" s="22"/>
      <c r="CH21" s="25" t="str">
        <f t="shared" si="3"/>
        <v>CN Beer SKB T8_Capella</v>
      </c>
      <c r="CI21" s="28"/>
      <c r="CJ21" s="22"/>
      <c r="CK21" s="22"/>
      <c r="CL21" s="22"/>
      <c r="CM21" s="21"/>
      <c r="CN21" s="11" t="s">
        <v>293</v>
      </c>
      <c r="CO21" s="21" t="s">
        <v>293</v>
      </c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8"/>
      <c r="DA21" s="18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</row>
    <row r="22" spans="1:116" s="2" customFormat="1" ht="15" x14ac:dyDescent="0.25">
      <c r="A22" s="30" t="s">
        <v>277</v>
      </c>
      <c r="B22" s="30" t="str">
        <f t="shared" si="5"/>
        <v>27082026</v>
      </c>
      <c r="C22" s="31" t="s">
        <v>267</v>
      </c>
      <c r="D22" s="32" t="s">
        <v>238</v>
      </c>
      <c r="E22" s="31" t="s">
        <v>144</v>
      </c>
      <c r="F22" s="33" t="s">
        <v>251</v>
      </c>
      <c r="G22" s="34"/>
      <c r="H22" s="34" t="s">
        <v>287</v>
      </c>
      <c r="I22" s="21"/>
      <c r="J22" s="21"/>
      <c r="K22" s="21"/>
      <c r="L22" s="21"/>
      <c r="M22" s="21"/>
      <c r="N22" s="33" t="s">
        <v>268</v>
      </c>
      <c r="O22" s="35" t="s">
        <v>292</v>
      </c>
      <c r="P22" s="33"/>
      <c r="Q22" s="36"/>
      <c r="R22" s="33"/>
      <c r="S22" s="37">
        <v>11556600</v>
      </c>
      <c r="T22" s="34" t="s">
        <v>271</v>
      </c>
      <c r="U22" s="38"/>
      <c r="V22" s="38"/>
      <c r="W22" s="39">
        <f t="shared" si="1"/>
        <v>11556600</v>
      </c>
      <c r="X22" s="40"/>
      <c r="Y22" s="40"/>
      <c r="Z22" s="30"/>
      <c r="AA22" s="33" t="s">
        <v>269</v>
      </c>
      <c r="AB22" s="30" t="str">
        <f t="shared" si="4"/>
        <v>27082026</v>
      </c>
      <c r="AC22" s="34" t="s">
        <v>293</v>
      </c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41" t="s">
        <v>294</v>
      </c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41" t="s">
        <v>294</v>
      </c>
      <c r="CE22" s="21"/>
      <c r="CF22" s="21"/>
      <c r="CG22" s="22"/>
      <c r="CH22" s="34" t="str">
        <f t="shared" si="3"/>
        <v>CN Beer SKB T8_FV</v>
      </c>
      <c r="CI22" s="28"/>
      <c r="CJ22" s="22"/>
      <c r="CK22" s="22"/>
      <c r="CL22" s="22"/>
      <c r="CM22" s="21"/>
      <c r="CN22" s="37" t="s">
        <v>293</v>
      </c>
      <c r="CO22" s="33" t="s">
        <v>293</v>
      </c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8"/>
      <c r="DA22" s="18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</row>
    <row r="23" spans="1:116" s="2" customFormat="1" ht="15" x14ac:dyDescent="0.25">
      <c r="A23" s="22" t="s">
        <v>277</v>
      </c>
      <c r="B23" s="22" t="str">
        <f t="shared" si="5"/>
        <v>27082026</v>
      </c>
      <c r="C23" s="23" t="s">
        <v>267</v>
      </c>
      <c r="D23" s="24" t="s">
        <v>238</v>
      </c>
      <c r="E23" s="23" t="s">
        <v>144</v>
      </c>
      <c r="F23" s="21" t="s">
        <v>251</v>
      </c>
      <c r="G23" s="25"/>
      <c r="H23" s="25" t="s">
        <v>275</v>
      </c>
      <c r="I23" s="21"/>
      <c r="J23" s="21"/>
      <c r="K23" s="21"/>
      <c r="L23" s="21"/>
      <c r="M23" s="21"/>
      <c r="N23" s="21" t="s">
        <v>264</v>
      </c>
      <c r="O23" s="29" t="s">
        <v>272</v>
      </c>
      <c r="P23" s="21"/>
      <c r="Q23" s="26"/>
      <c r="R23" s="21"/>
      <c r="S23" s="11">
        <v>8034000</v>
      </c>
      <c r="T23" s="25" t="s">
        <v>271</v>
      </c>
      <c r="U23" s="19"/>
      <c r="V23" s="19"/>
      <c r="W23" s="10">
        <f t="shared" si="1"/>
        <v>8034000</v>
      </c>
      <c r="X23" s="20"/>
      <c r="Y23" s="20"/>
      <c r="Z23" s="22"/>
      <c r="AA23" s="21" t="s">
        <v>269</v>
      </c>
      <c r="AB23" s="22" t="str">
        <f t="shared" si="4"/>
        <v>27082026</v>
      </c>
      <c r="AC23" s="25" t="s">
        <v>292</v>
      </c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7" t="s">
        <v>294</v>
      </c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 t="s">
        <v>294</v>
      </c>
      <c r="CE23" s="21"/>
      <c r="CF23" s="21"/>
      <c r="CG23" s="22"/>
      <c r="CH23" s="25" t="str">
        <f t="shared" si="3"/>
        <v>Bia Lunar Castle Dry hop Pale Ale</v>
      </c>
      <c r="CI23" s="28"/>
      <c r="CJ23" s="22"/>
      <c r="CK23" s="22"/>
      <c r="CL23" s="22"/>
      <c r="CM23" s="21"/>
      <c r="CN23" s="11">
        <v>267.8</v>
      </c>
      <c r="CO23" s="21" t="s">
        <v>273</v>
      </c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8"/>
      <c r="DA23" s="18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</row>
    <row r="24" spans="1:116" s="2" customFormat="1" ht="15" x14ac:dyDescent="0.25">
      <c r="A24" s="22" t="s">
        <v>277</v>
      </c>
      <c r="B24" s="22" t="str">
        <f t="shared" si="5"/>
        <v>27082026</v>
      </c>
      <c r="C24" s="23" t="s">
        <v>267</v>
      </c>
      <c r="D24" s="24" t="s">
        <v>238</v>
      </c>
      <c r="E24" s="23" t="s">
        <v>144</v>
      </c>
      <c r="F24" s="21" t="s">
        <v>251</v>
      </c>
      <c r="G24" s="25"/>
      <c r="H24" s="25" t="s">
        <v>274</v>
      </c>
      <c r="I24" s="21"/>
      <c r="J24" s="21"/>
      <c r="K24" s="21"/>
      <c r="L24" s="21"/>
      <c r="M24" s="21"/>
      <c r="N24" s="21" t="s">
        <v>264</v>
      </c>
      <c r="O24" s="29" t="s">
        <v>272</v>
      </c>
      <c r="P24" s="21"/>
      <c r="Q24" s="26"/>
      <c r="R24" s="21"/>
      <c r="S24" s="11">
        <v>2472000</v>
      </c>
      <c r="T24" s="25" t="s">
        <v>271</v>
      </c>
      <c r="U24" s="19"/>
      <c r="V24" s="19"/>
      <c r="W24" s="10">
        <f t="shared" si="1"/>
        <v>2472000</v>
      </c>
      <c r="X24" s="20"/>
      <c r="Y24" s="20"/>
      <c r="Z24" s="22"/>
      <c r="AA24" s="21" t="s">
        <v>269</v>
      </c>
      <c r="AB24" s="22" t="str">
        <f t="shared" si="4"/>
        <v>27082026</v>
      </c>
      <c r="AC24" s="25" t="s">
        <v>292</v>
      </c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7" t="s">
        <v>294</v>
      </c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 t="s">
        <v>294</v>
      </c>
      <c r="CE24" s="21"/>
      <c r="CF24" s="21"/>
      <c r="CG24" s="22"/>
      <c r="CH24" s="25" t="str">
        <f t="shared" si="3"/>
        <v>Bia Wings Dark Lager</v>
      </c>
      <c r="CI24" s="28"/>
      <c r="CJ24" s="22"/>
      <c r="CK24" s="22"/>
      <c r="CL24" s="22"/>
      <c r="CM24" s="21"/>
      <c r="CN24" s="11">
        <v>82.4</v>
      </c>
      <c r="CO24" s="21" t="s">
        <v>273</v>
      </c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8"/>
      <c r="DA24" s="18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</row>
    <row r="25" spans="1:116" s="2" customFormat="1" ht="15" x14ac:dyDescent="0.25">
      <c r="A25" s="22" t="s">
        <v>277</v>
      </c>
      <c r="B25" s="22" t="str">
        <f t="shared" si="5"/>
        <v>27082026</v>
      </c>
      <c r="C25" s="23" t="s">
        <v>267</v>
      </c>
      <c r="D25" s="24" t="s">
        <v>238</v>
      </c>
      <c r="E25" s="23" t="s">
        <v>144</v>
      </c>
      <c r="F25" s="21" t="s">
        <v>251</v>
      </c>
      <c r="G25" s="25"/>
      <c r="H25" s="25" t="s">
        <v>287</v>
      </c>
      <c r="I25" s="21"/>
      <c r="J25" s="21"/>
      <c r="K25" s="21"/>
      <c r="L25" s="21"/>
      <c r="M25" s="21"/>
      <c r="N25" s="21" t="s">
        <v>264</v>
      </c>
      <c r="O25" s="29" t="s">
        <v>270</v>
      </c>
      <c r="P25" s="21"/>
      <c r="Q25" s="26"/>
      <c r="R25" s="21"/>
      <c r="S25" s="11">
        <v>1050600</v>
      </c>
      <c r="T25" s="25" t="s">
        <v>271</v>
      </c>
      <c r="U25" s="19">
        <f>S25</f>
        <v>1050600</v>
      </c>
      <c r="V25" s="19">
        <f>U25/0.1</f>
        <v>10506000</v>
      </c>
      <c r="W25" s="10">
        <f t="shared" si="1"/>
        <v>1050600</v>
      </c>
      <c r="X25" s="20"/>
      <c r="Y25" s="20"/>
      <c r="Z25" s="22"/>
      <c r="AA25" s="21" t="s">
        <v>269</v>
      </c>
      <c r="AB25" s="22" t="str">
        <f t="shared" si="4"/>
        <v>27082026</v>
      </c>
      <c r="AC25" s="25" t="s">
        <v>292</v>
      </c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7" t="s">
        <v>294</v>
      </c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 t="s">
        <v>294</v>
      </c>
      <c r="CE25" s="21"/>
      <c r="CF25" s="21"/>
      <c r="CG25" s="22"/>
      <c r="CH25" s="25" t="str">
        <f t="shared" si="3"/>
        <v>CN Beer SKB T8_FV</v>
      </c>
      <c r="CI25" s="28"/>
      <c r="CJ25" s="22"/>
      <c r="CK25" s="22"/>
      <c r="CL25" s="22"/>
      <c r="CM25" s="21"/>
      <c r="CN25" s="11" t="s">
        <v>293</v>
      </c>
      <c r="CO25" s="21" t="s">
        <v>293</v>
      </c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8"/>
      <c r="DA25" s="18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</row>
    <row r="26" spans="1:116" s="2" customFormat="1" ht="15" x14ac:dyDescent="0.25">
      <c r="A26" s="30" t="s">
        <v>277</v>
      </c>
      <c r="B26" s="30" t="str">
        <f t="shared" si="5"/>
        <v>27082026</v>
      </c>
      <c r="C26" s="31" t="s">
        <v>267</v>
      </c>
      <c r="D26" s="32" t="s">
        <v>238</v>
      </c>
      <c r="E26" s="31" t="s">
        <v>144</v>
      </c>
      <c r="F26" s="33" t="s">
        <v>251</v>
      </c>
      <c r="G26" s="34"/>
      <c r="H26" s="34" t="s">
        <v>288</v>
      </c>
      <c r="I26" s="21"/>
      <c r="J26" s="21"/>
      <c r="K26" s="21"/>
      <c r="L26" s="21"/>
      <c r="M26" s="21"/>
      <c r="N26" s="33" t="s">
        <v>268</v>
      </c>
      <c r="O26" s="35" t="s">
        <v>292</v>
      </c>
      <c r="P26" s="33"/>
      <c r="Q26" s="36"/>
      <c r="R26" s="33"/>
      <c r="S26" s="37">
        <v>26400000</v>
      </c>
      <c r="T26" s="34" t="s">
        <v>271</v>
      </c>
      <c r="U26" s="38"/>
      <c r="V26" s="38"/>
      <c r="W26" s="39">
        <f t="shared" si="1"/>
        <v>26400000</v>
      </c>
      <c r="X26" s="40"/>
      <c r="Y26" s="40"/>
      <c r="Z26" s="30"/>
      <c r="AA26" s="33" t="s">
        <v>269</v>
      </c>
      <c r="AB26" s="30" t="str">
        <f t="shared" si="4"/>
        <v>27082026</v>
      </c>
      <c r="AC26" s="34" t="s">
        <v>293</v>
      </c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41" t="s">
        <v>294</v>
      </c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41" t="s">
        <v>294</v>
      </c>
      <c r="CE26" s="21"/>
      <c r="CF26" s="21"/>
      <c r="CG26" s="22"/>
      <c r="CH26" s="34" t="str">
        <f t="shared" si="3"/>
        <v>CN Beer SKB T8_HLS</v>
      </c>
      <c r="CI26" s="28"/>
      <c r="CJ26" s="22"/>
      <c r="CK26" s="22"/>
      <c r="CL26" s="22"/>
      <c r="CM26" s="21"/>
      <c r="CN26" s="37" t="s">
        <v>293</v>
      </c>
      <c r="CO26" s="33" t="s">
        <v>293</v>
      </c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8"/>
      <c r="DA26" s="18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</row>
    <row r="27" spans="1:116" s="2" customFormat="1" ht="15" x14ac:dyDescent="0.25">
      <c r="A27" s="22" t="s">
        <v>277</v>
      </c>
      <c r="B27" s="22" t="str">
        <f t="shared" si="5"/>
        <v>27082026</v>
      </c>
      <c r="C27" s="23" t="s">
        <v>267</v>
      </c>
      <c r="D27" s="24" t="s">
        <v>238</v>
      </c>
      <c r="E27" s="23" t="s">
        <v>144</v>
      </c>
      <c r="F27" s="21" t="s">
        <v>251</v>
      </c>
      <c r="G27" s="25"/>
      <c r="H27" s="25" t="s">
        <v>279</v>
      </c>
      <c r="I27" s="21"/>
      <c r="J27" s="21"/>
      <c r="K27" s="21"/>
      <c r="L27" s="21"/>
      <c r="M27" s="21"/>
      <c r="N27" s="21" t="s">
        <v>264</v>
      </c>
      <c r="O27" s="29" t="s">
        <v>272</v>
      </c>
      <c r="P27" s="21"/>
      <c r="Q27" s="26"/>
      <c r="R27" s="21"/>
      <c r="S27" s="11">
        <v>12000000</v>
      </c>
      <c r="T27" s="25" t="s">
        <v>271</v>
      </c>
      <c r="U27" s="19"/>
      <c r="V27" s="19"/>
      <c r="W27" s="10">
        <f t="shared" si="1"/>
        <v>12000000</v>
      </c>
      <c r="X27" s="20"/>
      <c r="Y27" s="20"/>
      <c r="Z27" s="22"/>
      <c r="AA27" s="21" t="s">
        <v>269</v>
      </c>
      <c r="AB27" s="22" t="str">
        <f t="shared" si="4"/>
        <v>27082026</v>
      </c>
      <c r="AC27" s="25" t="s">
        <v>292</v>
      </c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7" t="s">
        <v>294</v>
      </c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 t="s">
        <v>294</v>
      </c>
      <c r="CE27" s="21"/>
      <c r="CF27" s="21"/>
      <c r="CG27" s="22"/>
      <c r="CH27" s="25" t="str">
        <f t="shared" si="3"/>
        <v>Bia Golden Bridge Helles Lager</v>
      </c>
      <c r="CI27" s="28"/>
      <c r="CJ27" s="22"/>
      <c r="CK27" s="22"/>
      <c r="CL27" s="22"/>
      <c r="CM27" s="21"/>
      <c r="CN27" s="11">
        <v>400</v>
      </c>
      <c r="CO27" s="21" t="s">
        <v>273</v>
      </c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8"/>
      <c r="DA27" s="18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</row>
    <row r="28" spans="1:116" s="2" customFormat="1" ht="15" x14ac:dyDescent="0.25">
      <c r="A28" s="22" t="s">
        <v>277</v>
      </c>
      <c r="B28" s="22" t="str">
        <f t="shared" si="5"/>
        <v>27082026</v>
      </c>
      <c r="C28" s="23" t="s">
        <v>267</v>
      </c>
      <c r="D28" s="24" t="s">
        <v>238</v>
      </c>
      <c r="E28" s="23" t="s">
        <v>144</v>
      </c>
      <c r="F28" s="21" t="s">
        <v>251</v>
      </c>
      <c r="G28" s="25"/>
      <c r="H28" s="25" t="s">
        <v>274</v>
      </c>
      <c r="I28" s="21"/>
      <c r="J28" s="21"/>
      <c r="K28" s="21"/>
      <c r="L28" s="21"/>
      <c r="M28" s="21"/>
      <c r="N28" s="21" t="s">
        <v>264</v>
      </c>
      <c r="O28" s="29" t="s">
        <v>272</v>
      </c>
      <c r="P28" s="21"/>
      <c r="Q28" s="26"/>
      <c r="R28" s="21"/>
      <c r="S28" s="11">
        <v>12000000</v>
      </c>
      <c r="T28" s="25" t="s">
        <v>271</v>
      </c>
      <c r="U28" s="19"/>
      <c r="V28" s="19"/>
      <c r="W28" s="10">
        <f t="shared" si="1"/>
        <v>12000000</v>
      </c>
      <c r="X28" s="20"/>
      <c r="Y28" s="20"/>
      <c r="Z28" s="22"/>
      <c r="AA28" s="21" t="s">
        <v>269</v>
      </c>
      <c r="AB28" s="22" t="str">
        <f t="shared" si="4"/>
        <v>27082026</v>
      </c>
      <c r="AC28" s="25" t="s">
        <v>292</v>
      </c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7" t="s">
        <v>294</v>
      </c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 t="s">
        <v>294</v>
      </c>
      <c r="CE28" s="21"/>
      <c r="CF28" s="21"/>
      <c r="CG28" s="22"/>
      <c r="CH28" s="25" t="str">
        <f t="shared" si="3"/>
        <v>Bia Wings Dark Lager</v>
      </c>
      <c r="CI28" s="28"/>
      <c r="CJ28" s="22"/>
      <c r="CK28" s="22"/>
      <c r="CL28" s="22"/>
      <c r="CM28" s="21"/>
      <c r="CN28" s="11">
        <v>400</v>
      </c>
      <c r="CO28" s="21" t="s">
        <v>273</v>
      </c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8"/>
      <c r="DA28" s="18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</row>
    <row r="29" spans="1:116" s="2" customFormat="1" ht="15" x14ac:dyDescent="0.25">
      <c r="A29" s="22" t="s">
        <v>277</v>
      </c>
      <c r="B29" s="22" t="str">
        <f t="shared" si="5"/>
        <v>27082026</v>
      </c>
      <c r="C29" s="23" t="s">
        <v>267</v>
      </c>
      <c r="D29" s="24" t="s">
        <v>238</v>
      </c>
      <c r="E29" s="23" t="s">
        <v>144</v>
      </c>
      <c r="F29" s="21" t="s">
        <v>251</v>
      </c>
      <c r="G29" s="25"/>
      <c r="H29" s="25" t="s">
        <v>288</v>
      </c>
      <c r="I29" s="21"/>
      <c r="J29" s="21"/>
      <c r="K29" s="21"/>
      <c r="L29" s="21"/>
      <c r="M29" s="21"/>
      <c r="N29" s="21" t="s">
        <v>264</v>
      </c>
      <c r="O29" s="29" t="s">
        <v>270</v>
      </c>
      <c r="P29" s="21"/>
      <c r="Q29" s="26"/>
      <c r="R29" s="21"/>
      <c r="S29" s="11">
        <v>2400000</v>
      </c>
      <c r="T29" s="25" t="s">
        <v>271</v>
      </c>
      <c r="U29" s="19">
        <f>S29</f>
        <v>2400000</v>
      </c>
      <c r="V29" s="19">
        <f>U29/0.1</f>
        <v>24000000</v>
      </c>
      <c r="W29" s="10">
        <f t="shared" si="1"/>
        <v>2400000</v>
      </c>
      <c r="X29" s="20"/>
      <c r="Y29" s="20"/>
      <c r="Z29" s="22"/>
      <c r="AA29" s="21" t="s">
        <v>269</v>
      </c>
      <c r="AB29" s="22" t="str">
        <f t="shared" si="4"/>
        <v>27082026</v>
      </c>
      <c r="AC29" s="25" t="s">
        <v>292</v>
      </c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7" t="s">
        <v>294</v>
      </c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 t="s">
        <v>294</v>
      </c>
      <c r="CE29" s="21"/>
      <c r="CF29" s="21"/>
      <c r="CG29" s="22"/>
      <c r="CH29" s="25" t="str">
        <f t="shared" si="3"/>
        <v>CN Beer SKB T8_HLS</v>
      </c>
      <c r="CI29" s="28"/>
      <c r="CJ29" s="22"/>
      <c r="CK29" s="22"/>
      <c r="CL29" s="22"/>
      <c r="CM29" s="21"/>
      <c r="CN29" s="11" t="s">
        <v>293</v>
      </c>
      <c r="CO29" s="21" t="s">
        <v>293</v>
      </c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8"/>
      <c r="DA29" s="18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</row>
    <row r="30" spans="1:116" s="2" customFormat="1" ht="15" x14ac:dyDescent="0.25">
      <c r="A30" s="30" t="s">
        <v>277</v>
      </c>
      <c r="B30" s="30" t="str">
        <f t="shared" si="5"/>
        <v>27082026</v>
      </c>
      <c r="C30" s="31" t="s">
        <v>267</v>
      </c>
      <c r="D30" s="32" t="s">
        <v>238</v>
      </c>
      <c r="E30" s="31" t="s">
        <v>144</v>
      </c>
      <c r="F30" s="33" t="s">
        <v>251</v>
      </c>
      <c r="G30" s="34"/>
      <c r="H30" s="34" t="s">
        <v>289</v>
      </c>
      <c r="I30" s="21"/>
      <c r="J30" s="21"/>
      <c r="K30" s="21"/>
      <c r="L30" s="21"/>
      <c r="M30" s="21"/>
      <c r="N30" s="33" t="s">
        <v>268</v>
      </c>
      <c r="O30" s="35" t="s">
        <v>292</v>
      </c>
      <c r="P30" s="33"/>
      <c r="Q30" s="36"/>
      <c r="R30" s="33"/>
      <c r="S30" s="37">
        <v>13754400</v>
      </c>
      <c r="T30" s="34" t="s">
        <v>271</v>
      </c>
      <c r="U30" s="38"/>
      <c r="V30" s="38"/>
      <c r="W30" s="39">
        <f t="shared" si="1"/>
        <v>13754400</v>
      </c>
      <c r="X30" s="40"/>
      <c r="Y30" s="40"/>
      <c r="Z30" s="30"/>
      <c r="AA30" s="33" t="s">
        <v>269</v>
      </c>
      <c r="AB30" s="30" t="str">
        <f t="shared" si="4"/>
        <v>27082026</v>
      </c>
      <c r="AC30" s="34" t="s">
        <v>293</v>
      </c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41" t="s">
        <v>294</v>
      </c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41" t="s">
        <v>294</v>
      </c>
      <c r="CE30" s="21"/>
      <c r="CF30" s="21"/>
      <c r="CG30" s="22"/>
      <c r="CH30" s="34" t="str">
        <f t="shared" si="3"/>
        <v>CN Beer SKB T8_ITC</v>
      </c>
      <c r="CI30" s="28"/>
      <c r="CJ30" s="22"/>
      <c r="CK30" s="22"/>
      <c r="CL30" s="22"/>
      <c r="CM30" s="21"/>
      <c r="CN30" s="37" t="s">
        <v>293</v>
      </c>
      <c r="CO30" s="33" t="s">
        <v>293</v>
      </c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8"/>
      <c r="DA30" s="18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</row>
    <row r="31" spans="1:116" s="2" customFormat="1" ht="15" x14ac:dyDescent="0.25">
      <c r="A31" s="22" t="s">
        <v>277</v>
      </c>
      <c r="B31" s="22" t="str">
        <f t="shared" si="5"/>
        <v>27082026</v>
      </c>
      <c r="C31" s="23" t="s">
        <v>267</v>
      </c>
      <c r="D31" s="24" t="s">
        <v>238</v>
      </c>
      <c r="E31" s="23" t="s">
        <v>144</v>
      </c>
      <c r="F31" s="21" t="s">
        <v>251</v>
      </c>
      <c r="G31" s="25"/>
      <c r="H31" s="25" t="s">
        <v>279</v>
      </c>
      <c r="I31" s="21"/>
      <c r="J31" s="21"/>
      <c r="K31" s="21"/>
      <c r="L31" s="21"/>
      <c r="M31" s="21"/>
      <c r="N31" s="21" t="s">
        <v>264</v>
      </c>
      <c r="O31" s="29" t="s">
        <v>272</v>
      </c>
      <c r="P31" s="21"/>
      <c r="Q31" s="26"/>
      <c r="R31" s="21"/>
      <c r="S31" s="11">
        <v>5400000</v>
      </c>
      <c r="T31" s="25" t="s">
        <v>271</v>
      </c>
      <c r="U31" s="19"/>
      <c r="V31" s="19"/>
      <c r="W31" s="10">
        <f t="shared" si="1"/>
        <v>5400000</v>
      </c>
      <c r="X31" s="20"/>
      <c r="Y31" s="20"/>
      <c r="Z31" s="22"/>
      <c r="AA31" s="21" t="s">
        <v>269</v>
      </c>
      <c r="AB31" s="22" t="str">
        <f t="shared" si="4"/>
        <v>27082026</v>
      </c>
      <c r="AC31" s="25" t="s">
        <v>292</v>
      </c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7" t="s">
        <v>294</v>
      </c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 t="s">
        <v>294</v>
      </c>
      <c r="CE31" s="21"/>
      <c r="CF31" s="21"/>
      <c r="CG31" s="22"/>
      <c r="CH31" s="25" t="str">
        <f t="shared" si="3"/>
        <v>Bia Golden Bridge Helles Lager</v>
      </c>
      <c r="CI31" s="28"/>
      <c r="CJ31" s="22"/>
      <c r="CK31" s="22"/>
      <c r="CL31" s="22"/>
      <c r="CM31" s="21"/>
      <c r="CN31" s="11">
        <v>180</v>
      </c>
      <c r="CO31" s="21" t="s">
        <v>273</v>
      </c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8"/>
      <c r="DA31" s="18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</row>
    <row r="32" spans="1:116" s="2" customFormat="1" ht="15" x14ac:dyDescent="0.25">
      <c r="A32" s="22" t="s">
        <v>277</v>
      </c>
      <c r="B32" s="22" t="str">
        <f t="shared" si="5"/>
        <v>27082026</v>
      </c>
      <c r="C32" s="23" t="s">
        <v>267</v>
      </c>
      <c r="D32" s="24" t="s">
        <v>238</v>
      </c>
      <c r="E32" s="23" t="s">
        <v>144</v>
      </c>
      <c r="F32" s="21" t="s">
        <v>251</v>
      </c>
      <c r="G32" s="25"/>
      <c r="H32" s="25" t="s">
        <v>275</v>
      </c>
      <c r="I32" s="21"/>
      <c r="J32" s="21"/>
      <c r="K32" s="21"/>
      <c r="L32" s="21"/>
      <c r="M32" s="21"/>
      <c r="N32" s="21" t="s">
        <v>264</v>
      </c>
      <c r="O32" s="29" t="s">
        <v>272</v>
      </c>
      <c r="P32" s="21"/>
      <c r="Q32" s="26"/>
      <c r="R32" s="21"/>
      <c r="S32" s="11">
        <v>1800000</v>
      </c>
      <c r="T32" s="25" t="s">
        <v>271</v>
      </c>
      <c r="U32" s="19"/>
      <c r="V32" s="19"/>
      <c r="W32" s="10">
        <f t="shared" si="1"/>
        <v>1800000</v>
      </c>
      <c r="X32" s="20"/>
      <c r="Y32" s="20"/>
      <c r="Z32" s="22"/>
      <c r="AA32" s="21" t="s">
        <v>269</v>
      </c>
      <c r="AB32" s="22" t="str">
        <f t="shared" si="4"/>
        <v>27082026</v>
      </c>
      <c r="AC32" s="25" t="s">
        <v>292</v>
      </c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7" t="s">
        <v>294</v>
      </c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 t="s">
        <v>294</v>
      </c>
      <c r="CE32" s="21"/>
      <c r="CF32" s="21"/>
      <c r="CG32" s="22"/>
      <c r="CH32" s="25" t="str">
        <f t="shared" si="3"/>
        <v>Bia Lunar Castle Dry hop Pale Ale</v>
      </c>
      <c r="CI32" s="28"/>
      <c r="CJ32" s="22"/>
      <c r="CK32" s="22"/>
      <c r="CL32" s="22"/>
      <c r="CM32" s="21"/>
      <c r="CN32" s="11">
        <v>60</v>
      </c>
      <c r="CO32" s="21" t="s">
        <v>273</v>
      </c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8"/>
      <c r="DA32" s="18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</row>
    <row r="33" spans="1:116" s="2" customFormat="1" ht="15" x14ac:dyDescent="0.25">
      <c r="A33" s="22" t="s">
        <v>277</v>
      </c>
      <c r="B33" s="22" t="str">
        <f t="shared" si="5"/>
        <v>27082026</v>
      </c>
      <c r="C33" s="23" t="s">
        <v>267</v>
      </c>
      <c r="D33" s="24" t="s">
        <v>238</v>
      </c>
      <c r="E33" s="23" t="s">
        <v>144</v>
      </c>
      <c r="F33" s="21" t="s">
        <v>251</v>
      </c>
      <c r="G33" s="25"/>
      <c r="H33" s="25" t="s">
        <v>274</v>
      </c>
      <c r="I33" s="21"/>
      <c r="J33" s="21"/>
      <c r="K33" s="21"/>
      <c r="L33" s="21"/>
      <c r="M33" s="21"/>
      <c r="N33" s="21" t="s">
        <v>264</v>
      </c>
      <c r="O33" s="29" t="s">
        <v>272</v>
      </c>
      <c r="P33" s="21"/>
      <c r="Q33" s="26"/>
      <c r="R33" s="21"/>
      <c r="S33" s="11">
        <v>600000</v>
      </c>
      <c r="T33" s="25" t="s">
        <v>271</v>
      </c>
      <c r="U33" s="19"/>
      <c r="V33" s="19"/>
      <c r="W33" s="10">
        <f t="shared" si="1"/>
        <v>600000</v>
      </c>
      <c r="X33" s="20"/>
      <c r="Y33" s="20"/>
      <c r="Z33" s="22"/>
      <c r="AA33" s="21" t="s">
        <v>269</v>
      </c>
      <c r="AB33" s="22" t="str">
        <f t="shared" si="4"/>
        <v>27082026</v>
      </c>
      <c r="AC33" s="25" t="s">
        <v>292</v>
      </c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7" t="s">
        <v>294</v>
      </c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 t="s">
        <v>294</v>
      </c>
      <c r="CE33" s="21"/>
      <c r="CF33" s="21"/>
      <c r="CG33" s="22"/>
      <c r="CH33" s="25" t="str">
        <f t="shared" si="3"/>
        <v>Bia Wings Dark Lager</v>
      </c>
      <c r="CI33" s="28"/>
      <c r="CJ33" s="22"/>
      <c r="CK33" s="22"/>
      <c r="CL33" s="22"/>
      <c r="CM33" s="21"/>
      <c r="CN33" s="11">
        <v>20</v>
      </c>
      <c r="CO33" s="21" t="s">
        <v>273</v>
      </c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8"/>
      <c r="DA33" s="18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</row>
    <row r="34" spans="1:116" s="2" customFormat="1" ht="15" x14ac:dyDescent="0.25">
      <c r="A34" s="22" t="s">
        <v>277</v>
      </c>
      <c r="B34" s="22" t="str">
        <f t="shared" si="5"/>
        <v>27082026</v>
      </c>
      <c r="C34" s="23" t="s">
        <v>267</v>
      </c>
      <c r="D34" s="24" t="s">
        <v>238</v>
      </c>
      <c r="E34" s="23" t="s">
        <v>144</v>
      </c>
      <c r="F34" s="21" t="s">
        <v>251</v>
      </c>
      <c r="G34" s="25"/>
      <c r="H34" s="25" t="s">
        <v>284</v>
      </c>
      <c r="I34" s="21"/>
      <c r="J34" s="21"/>
      <c r="K34" s="21"/>
      <c r="L34" s="21"/>
      <c r="M34" s="21"/>
      <c r="N34" s="21" t="s">
        <v>264</v>
      </c>
      <c r="O34" s="29" t="s">
        <v>272</v>
      </c>
      <c r="P34" s="21"/>
      <c r="Q34" s="26"/>
      <c r="R34" s="21"/>
      <c r="S34" s="11">
        <v>4032000</v>
      </c>
      <c r="T34" s="25" t="s">
        <v>271</v>
      </c>
      <c r="U34" s="19"/>
      <c r="V34" s="19"/>
      <c r="W34" s="10">
        <f t="shared" si="1"/>
        <v>4032000</v>
      </c>
      <c r="X34" s="20"/>
      <c r="Y34" s="20"/>
      <c r="Z34" s="22"/>
      <c r="AA34" s="21" t="s">
        <v>269</v>
      </c>
      <c r="AB34" s="22" t="str">
        <f t="shared" si="4"/>
        <v>27082026</v>
      </c>
      <c r="AC34" s="25" t="s">
        <v>292</v>
      </c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7" t="s">
        <v>294</v>
      </c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 t="s">
        <v>294</v>
      </c>
      <c r="CE34" s="21"/>
      <c r="CF34" s="21"/>
      <c r="CG34" s="22"/>
      <c r="CH34" s="25" t="str">
        <f t="shared" si="3"/>
        <v>Bia Lunar Castle Dry hop Pale Ale 330ml</v>
      </c>
      <c r="CI34" s="28"/>
      <c r="CJ34" s="22"/>
      <c r="CK34" s="22"/>
      <c r="CL34" s="22"/>
      <c r="CM34" s="21"/>
      <c r="CN34" s="11">
        <v>288</v>
      </c>
      <c r="CO34" s="21" t="s">
        <v>276</v>
      </c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8"/>
      <c r="DA34" s="18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</row>
    <row r="35" spans="1:116" s="2" customFormat="1" ht="15" x14ac:dyDescent="0.25">
      <c r="A35" s="22" t="s">
        <v>277</v>
      </c>
      <c r="B35" s="22" t="str">
        <f t="shared" si="5"/>
        <v>27082026</v>
      </c>
      <c r="C35" s="23" t="s">
        <v>267</v>
      </c>
      <c r="D35" s="24" t="s">
        <v>238</v>
      </c>
      <c r="E35" s="23" t="s">
        <v>144</v>
      </c>
      <c r="F35" s="21" t="s">
        <v>251</v>
      </c>
      <c r="G35" s="25"/>
      <c r="H35" s="25" t="s">
        <v>285</v>
      </c>
      <c r="I35" s="21"/>
      <c r="J35" s="21"/>
      <c r="K35" s="21"/>
      <c r="L35" s="21"/>
      <c r="M35" s="21"/>
      <c r="N35" s="21" t="s">
        <v>264</v>
      </c>
      <c r="O35" s="29" t="s">
        <v>272</v>
      </c>
      <c r="P35" s="21"/>
      <c r="Q35" s="26"/>
      <c r="R35" s="21"/>
      <c r="S35" s="11">
        <v>672000</v>
      </c>
      <c r="T35" s="25" t="s">
        <v>271</v>
      </c>
      <c r="U35" s="19"/>
      <c r="V35" s="19"/>
      <c r="W35" s="10">
        <f t="shared" si="1"/>
        <v>672000</v>
      </c>
      <c r="X35" s="20"/>
      <c r="Y35" s="20"/>
      <c r="Z35" s="22"/>
      <c r="AA35" s="21" t="s">
        <v>269</v>
      </c>
      <c r="AB35" s="22" t="str">
        <f t="shared" si="4"/>
        <v>27082026</v>
      </c>
      <c r="AC35" s="25" t="s">
        <v>292</v>
      </c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7" t="s">
        <v>294</v>
      </c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 t="s">
        <v>294</v>
      </c>
      <c r="CE35" s="21"/>
      <c r="CF35" s="21"/>
      <c r="CG35" s="22"/>
      <c r="CH35" s="25" t="str">
        <f t="shared" si="3"/>
        <v>Bia Wings Dark Lager 330ml</v>
      </c>
      <c r="CI35" s="28"/>
      <c r="CJ35" s="22"/>
      <c r="CK35" s="22"/>
      <c r="CL35" s="22"/>
      <c r="CM35" s="21"/>
      <c r="CN35" s="11">
        <v>48</v>
      </c>
      <c r="CO35" s="21" t="s">
        <v>276</v>
      </c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8"/>
      <c r="DA35" s="18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</row>
    <row r="36" spans="1:116" s="2" customFormat="1" ht="15" x14ac:dyDescent="0.25">
      <c r="A36" s="22" t="s">
        <v>277</v>
      </c>
      <c r="B36" s="22" t="str">
        <f t="shared" si="5"/>
        <v>27082026</v>
      </c>
      <c r="C36" s="23" t="s">
        <v>267</v>
      </c>
      <c r="D36" s="24" t="s">
        <v>238</v>
      </c>
      <c r="E36" s="23" t="s">
        <v>144</v>
      </c>
      <c r="F36" s="21" t="s">
        <v>251</v>
      </c>
      <c r="G36" s="25"/>
      <c r="H36" s="25" t="s">
        <v>289</v>
      </c>
      <c r="I36" s="21"/>
      <c r="J36" s="21"/>
      <c r="K36" s="21"/>
      <c r="L36" s="21"/>
      <c r="M36" s="21"/>
      <c r="N36" s="21" t="s">
        <v>264</v>
      </c>
      <c r="O36" s="29" t="s">
        <v>270</v>
      </c>
      <c r="P36" s="21"/>
      <c r="Q36" s="26"/>
      <c r="R36" s="21"/>
      <c r="S36" s="11">
        <v>1250400</v>
      </c>
      <c r="T36" s="25" t="s">
        <v>271</v>
      </c>
      <c r="U36" s="19">
        <f>S36</f>
        <v>1250400</v>
      </c>
      <c r="V36" s="19">
        <f>U36/0.1</f>
        <v>12504000</v>
      </c>
      <c r="W36" s="10">
        <f t="shared" si="1"/>
        <v>1250400</v>
      </c>
      <c r="X36" s="20"/>
      <c r="Y36" s="20"/>
      <c r="Z36" s="22"/>
      <c r="AA36" s="21" t="s">
        <v>269</v>
      </c>
      <c r="AB36" s="22" t="str">
        <f t="shared" si="4"/>
        <v>27082026</v>
      </c>
      <c r="AC36" s="25" t="s">
        <v>292</v>
      </c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7" t="s">
        <v>294</v>
      </c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 t="s">
        <v>294</v>
      </c>
      <c r="CE36" s="21"/>
      <c r="CF36" s="21"/>
      <c r="CG36" s="22"/>
      <c r="CH36" s="25" t="str">
        <f t="shared" si="3"/>
        <v>CN Beer SKB T8_ITC</v>
      </c>
      <c r="CI36" s="28"/>
      <c r="CJ36" s="22"/>
      <c r="CK36" s="22"/>
      <c r="CL36" s="22"/>
      <c r="CM36" s="21"/>
      <c r="CN36" s="11" t="s">
        <v>293</v>
      </c>
      <c r="CO36" s="21" t="s">
        <v>293</v>
      </c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8"/>
      <c r="DA36" s="18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</row>
    <row r="37" spans="1:116" s="2" customFormat="1" ht="15" x14ac:dyDescent="0.25">
      <c r="A37" s="30" t="s">
        <v>277</v>
      </c>
      <c r="B37" s="30" t="str">
        <f t="shared" si="5"/>
        <v>27082026</v>
      </c>
      <c r="C37" s="31" t="s">
        <v>267</v>
      </c>
      <c r="D37" s="32" t="s">
        <v>238</v>
      </c>
      <c r="E37" s="31" t="s">
        <v>144</v>
      </c>
      <c r="F37" s="33" t="s">
        <v>251</v>
      </c>
      <c r="G37" s="34"/>
      <c r="H37" s="34" t="s">
        <v>290</v>
      </c>
      <c r="I37" s="21"/>
      <c r="J37" s="21"/>
      <c r="K37" s="21"/>
      <c r="L37" s="21"/>
      <c r="M37" s="21"/>
      <c r="N37" s="33" t="s">
        <v>268</v>
      </c>
      <c r="O37" s="35" t="s">
        <v>292</v>
      </c>
      <c r="P37" s="33"/>
      <c r="Q37" s="36"/>
      <c r="R37" s="33"/>
      <c r="S37" s="37">
        <v>9900000</v>
      </c>
      <c r="T37" s="34" t="s">
        <v>271</v>
      </c>
      <c r="U37" s="38"/>
      <c r="V37" s="38"/>
      <c r="W37" s="39">
        <f t="shared" si="1"/>
        <v>9900000</v>
      </c>
      <c r="X37" s="40"/>
      <c r="Y37" s="40"/>
      <c r="Z37" s="30"/>
      <c r="AA37" s="33" t="s">
        <v>269</v>
      </c>
      <c r="AB37" s="30" t="str">
        <f t="shared" si="4"/>
        <v>27082026</v>
      </c>
      <c r="AC37" s="34" t="s">
        <v>293</v>
      </c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41" t="s">
        <v>294</v>
      </c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41" t="s">
        <v>294</v>
      </c>
      <c r="CE37" s="21"/>
      <c r="CF37" s="21"/>
      <c r="CG37" s="22"/>
      <c r="CH37" s="34" t="str">
        <f t="shared" si="3"/>
        <v>CN Beer SKB T8_MGS</v>
      </c>
      <c r="CI37" s="28"/>
      <c r="CJ37" s="22"/>
      <c r="CK37" s="22"/>
      <c r="CL37" s="22"/>
      <c r="CM37" s="21"/>
      <c r="CN37" s="37" t="s">
        <v>293</v>
      </c>
      <c r="CO37" s="33" t="s">
        <v>293</v>
      </c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8"/>
      <c r="DA37" s="18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</row>
    <row r="38" spans="1:116" s="2" customFormat="1" ht="15" x14ac:dyDescent="0.25">
      <c r="A38" s="22" t="s">
        <v>277</v>
      </c>
      <c r="B38" s="22" t="str">
        <f t="shared" si="5"/>
        <v>27082026</v>
      </c>
      <c r="C38" s="23" t="s">
        <v>267</v>
      </c>
      <c r="D38" s="24" t="s">
        <v>238</v>
      </c>
      <c r="E38" s="23" t="s">
        <v>144</v>
      </c>
      <c r="F38" s="21" t="s">
        <v>251</v>
      </c>
      <c r="G38" s="25"/>
      <c r="H38" s="25" t="s">
        <v>279</v>
      </c>
      <c r="I38" s="21"/>
      <c r="J38" s="21"/>
      <c r="K38" s="21"/>
      <c r="L38" s="21"/>
      <c r="M38" s="21"/>
      <c r="N38" s="21" t="s">
        <v>264</v>
      </c>
      <c r="O38" s="29" t="s">
        <v>272</v>
      </c>
      <c r="P38" s="21"/>
      <c r="Q38" s="26"/>
      <c r="R38" s="21"/>
      <c r="S38" s="11">
        <v>4800000</v>
      </c>
      <c r="T38" s="25" t="s">
        <v>271</v>
      </c>
      <c r="U38" s="19"/>
      <c r="V38" s="19"/>
      <c r="W38" s="10">
        <f t="shared" si="1"/>
        <v>4800000</v>
      </c>
      <c r="X38" s="20"/>
      <c r="Y38" s="20"/>
      <c r="Z38" s="22"/>
      <c r="AA38" s="21" t="s">
        <v>269</v>
      </c>
      <c r="AB38" s="22" t="str">
        <f t="shared" si="4"/>
        <v>27082026</v>
      </c>
      <c r="AC38" s="25" t="s">
        <v>292</v>
      </c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7" t="s">
        <v>294</v>
      </c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 t="s">
        <v>294</v>
      </c>
      <c r="CE38" s="21"/>
      <c r="CF38" s="21"/>
      <c r="CG38" s="22"/>
      <c r="CH38" s="25" t="str">
        <f t="shared" si="3"/>
        <v>Bia Golden Bridge Helles Lager</v>
      </c>
      <c r="CI38" s="28"/>
      <c r="CJ38" s="22"/>
      <c r="CK38" s="22"/>
      <c r="CL38" s="22"/>
      <c r="CM38" s="21"/>
      <c r="CN38" s="11">
        <v>160</v>
      </c>
      <c r="CO38" s="21" t="s">
        <v>273</v>
      </c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8"/>
      <c r="DA38" s="18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</row>
    <row r="39" spans="1:116" s="2" customFormat="1" ht="15" x14ac:dyDescent="0.25">
      <c r="A39" s="22" t="s">
        <v>277</v>
      </c>
      <c r="B39" s="22" t="str">
        <f t="shared" si="5"/>
        <v>27082026</v>
      </c>
      <c r="C39" s="23" t="s">
        <v>267</v>
      </c>
      <c r="D39" s="24" t="s">
        <v>238</v>
      </c>
      <c r="E39" s="23" t="s">
        <v>144</v>
      </c>
      <c r="F39" s="21" t="s">
        <v>251</v>
      </c>
      <c r="G39" s="25"/>
      <c r="H39" s="25" t="s">
        <v>275</v>
      </c>
      <c r="I39" s="21"/>
      <c r="J39" s="21"/>
      <c r="K39" s="21"/>
      <c r="L39" s="21"/>
      <c r="M39" s="21"/>
      <c r="N39" s="21" t="s">
        <v>264</v>
      </c>
      <c r="O39" s="29" t="s">
        <v>272</v>
      </c>
      <c r="P39" s="21"/>
      <c r="Q39" s="26"/>
      <c r="R39" s="21"/>
      <c r="S39" s="11">
        <v>3600000</v>
      </c>
      <c r="T39" s="25" t="s">
        <v>271</v>
      </c>
      <c r="U39" s="19"/>
      <c r="V39" s="19"/>
      <c r="W39" s="10">
        <f t="shared" si="1"/>
        <v>3600000</v>
      </c>
      <c r="X39" s="20"/>
      <c r="Y39" s="20"/>
      <c r="Z39" s="22"/>
      <c r="AA39" s="21" t="s">
        <v>269</v>
      </c>
      <c r="AB39" s="22" t="str">
        <f t="shared" si="4"/>
        <v>27082026</v>
      </c>
      <c r="AC39" s="25" t="s">
        <v>292</v>
      </c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7" t="s">
        <v>294</v>
      </c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 t="s">
        <v>294</v>
      </c>
      <c r="CE39" s="21"/>
      <c r="CF39" s="21"/>
      <c r="CG39" s="22"/>
      <c r="CH39" s="25" t="str">
        <f t="shared" si="3"/>
        <v>Bia Lunar Castle Dry hop Pale Ale</v>
      </c>
      <c r="CI39" s="28"/>
      <c r="CJ39" s="22"/>
      <c r="CK39" s="22"/>
      <c r="CL39" s="22"/>
      <c r="CM39" s="21"/>
      <c r="CN39" s="11">
        <v>120</v>
      </c>
      <c r="CO39" s="21" t="s">
        <v>273</v>
      </c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8"/>
      <c r="DA39" s="18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</row>
    <row r="40" spans="1:116" s="2" customFormat="1" ht="15" x14ac:dyDescent="0.25">
      <c r="A40" s="22" t="s">
        <v>277</v>
      </c>
      <c r="B40" s="22" t="str">
        <f t="shared" si="5"/>
        <v>27082026</v>
      </c>
      <c r="C40" s="23" t="s">
        <v>267</v>
      </c>
      <c r="D40" s="24" t="s">
        <v>238</v>
      </c>
      <c r="E40" s="23" t="s">
        <v>144</v>
      </c>
      <c r="F40" s="21" t="s">
        <v>251</v>
      </c>
      <c r="G40" s="25"/>
      <c r="H40" s="25" t="s">
        <v>274</v>
      </c>
      <c r="I40" s="21"/>
      <c r="J40" s="21"/>
      <c r="K40" s="21"/>
      <c r="L40" s="21"/>
      <c r="M40" s="21"/>
      <c r="N40" s="21" t="s">
        <v>264</v>
      </c>
      <c r="O40" s="29" t="s">
        <v>272</v>
      </c>
      <c r="P40" s="21"/>
      <c r="Q40" s="26"/>
      <c r="R40" s="21"/>
      <c r="S40" s="11">
        <v>600000</v>
      </c>
      <c r="T40" s="25" t="s">
        <v>271</v>
      </c>
      <c r="U40" s="19"/>
      <c r="V40" s="19"/>
      <c r="W40" s="10">
        <f t="shared" si="1"/>
        <v>600000</v>
      </c>
      <c r="X40" s="20"/>
      <c r="Y40" s="20"/>
      <c r="Z40" s="22"/>
      <c r="AA40" s="21" t="s">
        <v>269</v>
      </c>
      <c r="AB40" s="22" t="str">
        <f t="shared" si="4"/>
        <v>27082026</v>
      </c>
      <c r="AC40" s="25" t="s">
        <v>292</v>
      </c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7" t="s">
        <v>294</v>
      </c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 t="s">
        <v>294</v>
      </c>
      <c r="CE40" s="21"/>
      <c r="CF40" s="21"/>
      <c r="CG40" s="22"/>
      <c r="CH40" s="25" t="str">
        <f t="shared" si="3"/>
        <v>Bia Wings Dark Lager</v>
      </c>
      <c r="CI40" s="28"/>
      <c r="CJ40" s="22"/>
      <c r="CK40" s="22"/>
      <c r="CL40" s="22"/>
      <c r="CM40" s="21"/>
      <c r="CN40" s="11">
        <v>20</v>
      </c>
      <c r="CO40" s="21" t="s">
        <v>273</v>
      </c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8"/>
      <c r="DA40" s="18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</row>
    <row r="41" spans="1:116" s="2" customFormat="1" ht="15" x14ac:dyDescent="0.25">
      <c r="A41" s="22" t="s">
        <v>277</v>
      </c>
      <c r="B41" s="22" t="str">
        <f t="shared" si="5"/>
        <v>27082026</v>
      </c>
      <c r="C41" s="23" t="s">
        <v>267</v>
      </c>
      <c r="D41" s="24" t="s">
        <v>238</v>
      </c>
      <c r="E41" s="23" t="s">
        <v>144</v>
      </c>
      <c r="F41" s="21" t="s">
        <v>251</v>
      </c>
      <c r="G41" s="25"/>
      <c r="H41" s="25" t="s">
        <v>290</v>
      </c>
      <c r="I41" s="21"/>
      <c r="J41" s="21"/>
      <c r="K41" s="21"/>
      <c r="L41" s="21"/>
      <c r="M41" s="21"/>
      <c r="N41" s="21" t="s">
        <v>264</v>
      </c>
      <c r="O41" s="29" t="s">
        <v>270</v>
      </c>
      <c r="P41" s="21"/>
      <c r="Q41" s="26"/>
      <c r="R41" s="21"/>
      <c r="S41" s="11">
        <v>900000</v>
      </c>
      <c r="T41" s="25" t="s">
        <v>271</v>
      </c>
      <c r="U41" s="19">
        <f>S41</f>
        <v>900000</v>
      </c>
      <c r="V41" s="19">
        <f>U41/0.1</f>
        <v>9000000</v>
      </c>
      <c r="W41" s="10">
        <f t="shared" si="1"/>
        <v>900000</v>
      </c>
      <c r="X41" s="20"/>
      <c r="Y41" s="20"/>
      <c r="Z41" s="22"/>
      <c r="AA41" s="21" t="s">
        <v>269</v>
      </c>
      <c r="AB41" s="22" t="str">
        <f t="shared" si="4"/>
        <v>27082026</v>
      </c>
      <c r="AC41" s="25" t="s">
        <v>292</v>
      </c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7" t="s">
        <v>294</v>
      </c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 t="s">
        <v>294</v>
      </c>
      <c r="CE41" s="21"/>
      <c r="CF41" s="21"/>
      <c r="CG41" s="22"/>
      <c r="CH41" s="25" t="str">
        <f t="shared" si="3"/>
        <v>CN Beer SKB T8_MGS</v>
      </c>
      <c r="CI41" s="28"/>
      <c r="CJ41" s="22"/>
      <c r="CK41" s="22"/>
      <c r="CL41" s="22"/>
      <c r="CM41" s="21"/>
      <c r="CN41" s="11" t="s">
        <v>293</v>
      </c>
      <c r="CO41" s="21" t="s">
        <v>293</v>
      </c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8"/>
      <c r="DA41" s="18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</row>
    <row r="42" spans="1:116" s="2" customFormat="1" ht="15" x14ac:dyDescent="0.25">
      <c r="A42" s="30" t="s">
        <v>277</v>
      </c>
      <c r="B42" s="30" t="str">
        <f t="shared" si="5"/>
        <v>27082026</v>
      </c>
      <c r="C42" s="31" t="s">
        <v>267</v>
      </c>
      <c r="D42" s="32" t="s">
        <v>238</v>
      </c>
      <c r="E42" s="31" t="s">
        <v>144</v>
      </c>
      <c r="F42" s="33" t="s">
        <v>251</v>
      </c>
      <c r="G42" s="34"/>
      <c r="H42" s="34" t="s">
        <v>291</v>
      </c>
      <c r="I42" s="21"/>
      <c r="J42" s="21"/>
      <c r="K42" s="21"/>
      <c r="L42" s="21"/>
      <c r="M42" s="21"/>
      <c r="N42" s="33" t="s">
        <v>268</v>
      </c>
      <c r="O42" s="35" t="s">
        <v>292</v>
      </c>
      <c r="P42" s="33"/>
      <c r="Q42" s="36"/>
      <c r="R42" s="33"/>
      <c r="S42" s="37">
        <v>5544000</v>
      </c>
      <c r="T42" s="34" t="s">
        <v>271</v>
      </c>
      <c r="U42" s="38"/>
      <c r="V42" s="38"/>
      <c r="W42" s="39">
        <f t="shared" si="1"/>
        <v>5544000</v>
      </c>
      <c r="X42" s="40"/>
      <c r="Y42" s="40"/>
      <c r="Z42" s="30"/>
      <c r="AA42" s="33" t="s">
        <v>269</v>
      </c>
      <c r="AB42" s="30" t="str">
        <f t="shared" si="4"/>
        <v>27082026</v>
      </c>
      <c r="AC42" s="34" t="s">
        <v>293</v>
      </c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41" t="s">
        <v>294</v>
      </c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41" t="s">
        <v>294</v>
      </c>
      <c r="CE42" s="21"/>
      <c r="CF42" s="21"/>
      <c r="CG42" s="22"/>
      <c r="CH42" s="34" t="str">
        <f t="shared" si="3"/>
        <v>CN Beer SKB T8_NVT</v>
      </c>
      <c r="CI42" s="28"/>
      <c r="CJ42" s="22"/>
      <c r="CK42" s="22"/>
      <c r="CL42" s="22"/>
      <c r="CM42" s="21"/>
      <c r="CN42" s="37" t="s">
        <v>293</v>
      </c>
      <c r="CO42" s="33" t="s">
        <v>293</v>
      </c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8"/>
      <c r="DA42" s="18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</row>
    <row r="43" spans="1:116" s="2" customFormat="1" ht="15" x14ac:dyDescent="0.25">
      <c r="A43" s="22" t="s">
        <v>277</v>
      </c>
      <c r="B43" s="22" t="str">
        <f t="shared" si="5"/>
        <v>27082026</v>
      </c>
      <c r="C43" s="23" t="s">
        <v>267</v>
      </c>
      <c r="D43" s="24" t="s">
        <v>238</v>
      </c>
      <c r="E43" s="23" t="s">
        <v>144</v>
      </c>
      <c r="F43" s="21" t="s">
        <v>251</v>
      </c>
      <c r="G43" s="25"/>
      <c r="H43" s="25" t="s">
        <v>284</v>
      </c>
      <c r="I43" s="21"/>
      <c r="J43" s="21"/>
      <c r="K43" s="21"/>
      <c r="L43" s="21"/>
      <c r="M43" s="21"/>
      <c r="N43" s="21" t="s">
        <v>264</v>
      </c>
      <c r="O43" s="29" t="s">
        <v>272</v>
      </c>
      <c r="P43" s="21"/>
      <c r="Q43" s="26"/>
      <c r="R43" s="21"/>
      <c r="S43" s="11">
        <v>3360000</v>
      </c>
      <c r="T43" s="25" t="s">
        <v>271</v>
      </c>
      <c r="U43" s="19"/>
      <c r="V43" s="19"/>
      <c r="W43" s="10">
        <f t="shared" si="1"/>
        <v>3360000</v>
      </c>
      <c r="X43" s="20"/>
      <c r="Y43" s="20"/>
      <c r="Z43" s="22"/>
      <c r="AA43" s="21" t="s">
        <v>269</v>
      </c>
      <c r="AB43" s="22" t="str">
        <f t="shared" si="4"/>
        <v>27082026</v>
      </c>
      <c r="AC43" s="25" t="s">
        <v>292</v>
      </c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7" t="s">
        <v>294</v>
      </c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 t="s">
        <v>294</v>
      </c>
      <c r="CE43" s="21"/>
      <c r="CF43" s="21"/>
      <c r="CG43" s="22"/>
      <c r="CH43" s="25" t="str">
        <f t="shared" si="3"/>
        <v>Bia Lunar Castle Dry hop Pale Ale 330ml</v>
      </c>
      <c r="CI43" s="28"/>
      <c r="CJ43" s="22"/>
      <c r="CK43" s="22"/>
      <c r="CL43" s="22"/>
      <c r="CM43" s="21"/>
      <c r="CN43" s="11">
        <v>240</v>
      </c>
      <c r="CO43" s="21" t="s">
        <v>276</v>
      </c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8"/>
      <c r="DA43" s="18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</row>
    <row r="44" spans="1:116" s="2" customFormat="1" ht="15" x14ac:dyDescent="0.25">
      <c r="A44" s="22" t="s">
        <v>277</v>
      </c>
      <c r="B44" s="22" t="str">
        <f t="shared" si="5"/>
        <v>27082026</v>
      </c>
      <c r="C44" s="23" t="s">
        <v>267</v>
      </c>
      <c r="D44" s="24" t="s">
        <v>238</v>
      </c>
      <c r="E44" s="23" t="s">
        <v>144</v>
      </c>
      <c r="F44" s="21" t="s">
        <v>251</v>
      </c>
      <c r="G44" s="25"/>
      <c r="H44" s="25" t="s">
        <v>285</v>
      </c>
      <c r="I44" s="21"/>
      <c r="J44" s="21"/>
      <c r="K44" s="21"/>
      <c r="L44" s="21"/>
      <c r="M44" s="21"/>
      <c r="N44" s="21" t="s">
        <v>264</v>
      </c>
      <c r="O44" s="29" t="s">
        <v>272</v>
      </c>
      <c r="P44" s="21"/>
      <c r="Q44" s="26"/>
      <c r="R44" s="21"/>
      <c r="S44" s="11">
        <v>1680000</v>
      </c>
      <c r="T44" s="25" t="s">
        <v>271</v>
      </c>
      <c r="U44" s="19"/>
      <c r="V44" s="19"/>
      <c r="W44" s="10">
        <f t="shared" si="1"/>
        <v>1680000</v>
      </c>
      <c r="X44" s="20"/>
      <c r="Y44" s="20"/>
      <c r="Z44" s="22"/>
      <c r="AA44" s="21" t="s">
        <v>269</v>
      </c>
      <c r="AB44" s="22" t="str">
        <f t="shared" si="4"/>
        <v>27082026</v>
      </c>
      <c r="AC44" s="25" t="s">
        <v>292</v>
      </c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7" t="s">
        <v>294</v>
      </c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 t="s">
        <v>294</v>
      </c>
      <c r="CE44" s="21"/>
      <c r="CF44" s="21"/>
      <c r="CG44" s="22"/>
      <c r="CH44" s="25" t="str">
        <f t="shared" si="3"/>
        <v>Bia Wings Dark Lager 330ml</v>
      </c>
      <c r="CI44" s="28"/>
      <c r="CJ44" s="22"/>
      <c r="CK44" s="22"/>
      <c r="CL44" s="22"/>
      <c r="CM44" s="21"/>
      <c r="CN44" s="11">
        <v>120</v>
      </c>
      <c r="CO44" s="21" t="s">
        <v>276</v>
      </c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8"/>
      <c r="DA44" s="18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</row>
    <row r="45" spans="1:116" s="2" customFormat="1" ht="15" x14ac:dyDescent="0.25">
      <c r="A45" s="22" t="s">
        <v>277</v>
      </c>
      <c r="B45" s="22" t="str">
        <f t="shared" si="5"/>
        <v>27082026</v>
      </c>
      <c r="C45" s="23" t="s">
        <v>267</v>
      </c>
      <c r="D45" s="24" t="s">
        <v>238</v>
      </c>
      <c r="E45" s="23" t="s">
        <v>144</v>
      </c>
      <c r="F45" s="21" t="s">
        <v>251</v>
      </c>
      <c r="G45" s="25"/>
      <c r="H45" s="25" t="s">
        <v>291</v>
      </c>
      <c r="I45" s="21"/>
      <c r="J45" s="21"/>
      <c r="K45" s="21"/>
      <c r="L45" s="21"/>
      <c r="M45" s="21"/>
      <c r="N45" s="21" t="s">
        <v>264</v>
      </c>
      <c r="O45" s="29" t="s">
        <v>270</v>
      </c>
      <c r="P45" s="21"/>
      <c r="Q45" s="26"/>
      <c r="R45" s="21"/>
      <c r="S45" s="11">
        <v>504000</v>
      </c>
      <c r="T45" s="25" t="s">
        <v>271</v>
      </c>
      <c r="U45" s="19">
        <f>S45</f>
        <v>504000</v>
      </c>
      <c r="V45" s="19">
        <f>U45/0.1</f>
        <v>5040000</v>
      </c>
      <c r="W45" s="10">
        <f t="shared" si="1"/>
        <v>504000</v>
      </c>
      <c r="X45" s="20"/>
      <c r="Y45" s="20"/>
      <c r="Z45" s="22"/>
      <c r="AA45" s="21" t="s">
        <v>269</v>
      </c>
      <c r="AB45" s="22" t="str">
        <f t="shared" si="4"/>
        <v>27082026</v>
      </c>
      <c r="AC45" s="25" t="s">
        <v>292</v>
      </c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7" t="s">
        <v>294</v>
      </c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 t="s">
        <v>294</v>
      </c>
      <c r="CE45" s="21"/>
      <c r="CF45" s="21"/>
      <c r="CG45" s="22"/>
      <c r="CH45" s="25" t="str">
        <f t="shared" si="3"/>
        <v>CN Beer SKB T8_NVT</v>
      </c>
      <c r="CI45" s="28"/>
      <c r="CJ45" s="22"/>
      <c r="CK45" s="22"/>
      <c r="CL45" s="22"/>
      <c r="CM45" s="21"/>
      <c r="CN45" s="11" t="s">
        <v>293</v>
      </c>
      <c r="CO45" s="21" t="s">
        <v>293</v>
      </c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8"/>
      <c r="DA45" s="18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</row>
  </sheetData>
  <autoFilter ref="A5:DL45" xr:uid="{00000000-0009-0000-0000-000000000000}"/>
  <mergeCells count="9">
    <mergeCell ref="A1:H2"/>
    <mergeCell ref="N1:CI1"/>
    <mergeCell ref="N2:R2"/>
    <mergeCell ref="S2:V2"/>
    <mergeCell ref="W2:Y2"/>
    <mergeCell ref="Z2:AB2"/>
    <mergeCell ref="AC2:BN2"/>
    <mergeCell ref="CD2:CF2"/>
    <mergeCell ref="CG2:CI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T9.2025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Khoa, Huynh Dang (SHE.BNC)</cp:lastModifiedBy>
  <cp:lastPrinted>2018-01-30T08:39:13Z</cp:lastPrinted>
  <dcterms:created xsi:type="dcterms:W3CDTF">2013-05-02T15:36:34Z</dcterms:created>
  <dcterms:modified xsi:type="dcterms:W3CDTF">2026-08-27T05:42:21Z</dcterms:modified>
</cp:coreProperties>
</file>