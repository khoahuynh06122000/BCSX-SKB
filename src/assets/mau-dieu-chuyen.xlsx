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r\_file-le\"/>
    </mc:Choice>
  </mc:AlternateContent>
  <xr:revisionPtr revIDLastSave="0" documentId="13_ncr:1_{EE9614B9-D0BB-4F64-8512-E7AE7F0C5127}" xr6:coauthVersionLast="47" xr6:coauthVersionMax="47" xr10:uidLastSave="{00000000-0000-0000-0000-000000000000}"/>
  <bookViews>
    <workbookView xWindow="-120" yWindow="-120" windowWidth="29040" windowHeight="15720" activeTab="1" xr2:uid="{CCAE316F-D833-4A29-BDB0-144AF258C6E5}"/>
  </bookViews>
  <sheets>
    <sheet name="file đc" sheetId="2" r:id="rId1"/>
    <sheet name="Sheet3" sheetId="3" r:id="rId2"/>
    <sheet name="Sheet4" sheetId="4" r:id="rId3"/>
  </sheets>
  <definedNames>
    <definedName name="_xlnm._FilterDatabase" localSheetId="0" hidden="1">'file đc'!$A$5:$AB$99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58" i="2" l="1"/>
  <c r="B58" i="2"/>
  <c r="Q57" i="2"/>
  <c r="B57" i="2"/>
  <c r="Q56" i="2"/>
  <c r="B56" i="2"/>
  <c r="Q55" i="2"/>
  <c r="E55" i="2"/>
  <c r="B55" i="2"/>
  <c r="E54" i="2"/>
  <c r="Q54" i="2" s="1"/>
  <c r="B54" i="2"/>
  <c r="E53" i="2"/>
  <c r="Q53" i="2" s="1"/>
  <c r="B53" i="2"/>
  <c r="E52" i="2"/>
  <c r="Q52" i="2" s="1"/>
  <c r="B52" i="2"/>
  <c r="E51" i="2"/>
  <c r="Q51" i="2" s="1"/>
  <c r="B51" i="2"/>
  <c r="E50" i="2"/>
  <c r="Q50" i="2" s="1"/>
  <c r="B50" i="2"/>
  <c r="Q49" i="2"/>
  <c r="E49" i="2"/>
  <c r="B49" i="2"/>
  <c r="E48" i="2"/>
  <c r="Q48" i="2" s="1"/>
  <c r="B48" i="2"/>
  <c r="E47" i="2"/>
  <c r="Q47" i="2" s="1"/>
  <c r="B47" i="2"/>
  <c r="E46" i="2"/>
  <c r="Q46" i="2" s="1"/>
  <c r="B46" i="2"/>
  <c r="E45" i="2"/>
  <c r="Q45" i="2" s="1"/>
  <c r="B45" i="2"/>
  <c r="E44" i="2"/>
  <c r="Q44" i="2" s="1"/>
  <c r="B44" i="2"/>
  <c r="Q43" i="2"/>
  <c r="E43" i="2"/>
  <c r="B43" i="2"/>
  <c r="E42" i="2"/>
  <c r="Q42" i="2" s="1"/>
  <c r="B42" i="2"/>
  <c r="E41" i="2"/>
  <c r="Q41" i="2" s="1"/>
  <c r="B41" i="2"/>
  <c r="E40" i="2"/>
  <c r="Q40" i="2" s="1"/>
  <c r="B40" i="2"/>
  <c r="E39" i="2"/>
  <c r="Q39" i="2" s="1"/>
  <c r="B39" i="2"/>
  <c r="E38" i="2"/>
  <c r="Q38" i="2" s="1"/>
  <c r="B38" i="2"/>
  <c r="Q37" i="2"/>
  <c r="E37" i="2"/>
  <c r="B37" i="2"/>
  <c r="E36" i="2"/>
  <c r="Q36" i="2" s="1"/>
  <c r="B36" i="2"/>
  <c r="Q35" i="2"/>
  <c r="E35" i="2"/>
  <c r="B35" i="2"/>
  <c r="E34" i="2"/>
  <c r="Q34" i="2" s="1"/>
  <c r="B34" i="2"/>
  <c r="E33" i="2"/>
  <c r="Q33" i="2" s="1"/>
  <c r="B33" i="2"/>
  <c r="E32" i="2"/>
  <c r="Q32" i="2" s="1"/>
  <c r="B32" i="2"/>
  <c r="Q31" i="2"/>
  <c r="E31" i="2"/>
  <c r="B31" i="2"/>
  <c r="E30" i="2"/>
  <c r="Q30" i="2" s="1"/>
  <c r="B30" i="2"/>
  <c r="E29" i="2"/>
  <c r="Q29" i="2" s="1"/>
  <c r="B29" i="2"/>
  <c r="E28" i="2"/>
  <c r="Q28" i="2" s="1"/>
  <c r="B28" i="2"/>
  <c r="E27" i="2"/>
  <c r="Q27" i="2" s="1"/>
  <c r="B27" i="2"/>
  <c r="Q26" i="2"/>
  <c r="E26" i="2"/>
  <c r="B26" i="2"/>
  <c r="Q25" i="2"/>
  <c r="E25" i="2"/>
  <c r="B25" i="2"/>
  <c r="E24" i="2"/>
  <c r="Q24" i="2" s="1"/>
  <c r="B24" i="2"/>
  <c r="Q23" i="2"/>
  <c r="E23" i="2"/>
  <c r="B23" i="2"/>
  <c r="E22" i="2"/>
  <c r="Q22" i="2" s="1"/>
  <c r="B22" i="2"/>
  <c r="E21" i="2"/>
  <c r="Q21" i="2" s="1"/>
  <c r="B21" i="2"/>
  <c r="E20" i="2"/>
  <c r="Q20" i="2" s="1"/>
  <c r="B20" i="2"/>
  <c r="Q19" i="2"/>
  <c r="E19" i="2"/>
  <c r="B19" i="2"/>
  <c r="E18" i="2"/>
  <c r="Q18" i="2" s="1"/>
  <c r="B18" i="2"/>
  <c r="E17" i="2"/>
  <c r="Q17" i="2" s="1"/>
  <c r="B17" i="2"/>
  <c r="E16" i="2"/>
  <c r="Q16" i="2" s="1"/>
  <c r="B16" i="2"/>
  <c r="E15" i="2"/>
  <c r="Q15" i="2" s="1"/>
  <c r="B15" i="2"/>
  <c r="E14" i="2"/>
  <c r="Q14" i="2" s="1"/>
  <c r="B14" i="2"/>
  <c r="Q13" i="2"/>
  <c r="E13" i="2"/>
  <c r="B13" i="2"/>
  <c r="E12" i="2"/>
  <c r="Q12" i="2" s="1"/>
  <c r="B12" i="2"/>
  <c r="E11" i="2"/>
  <c r="Q11" i="2" s="1"/>
  <c r="B11" i="2"/>
  <c r="E10" i="2"/>
  <c r="Q10" i="2" s="1"/>
  <c r="B10" i="2"/>
  <c r="F9" i="2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E9" i="2"/>
  <c r="Q9" i="2" s="1"/>
  <c r="C9" i="2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B9" i="2"/>
  <c r="AB8" i="2"/>
  <c r="AB9" i="2" s="1"/>
  <c r="AB10" i="2" s="1"/>
  <c r="AB11" i="2" s="1"/>
  <c r="AB12" i="2" s="1"/>
  <c r="AB13" i="2" s="1"/>
  <c r="AB14" i="2" s="1"/>
  <c r="AB15" i="2" s="1"/>
  <c r="AB16" i="2" s="1"/>
  <c r="AB17" i="2" s="1"/>
  <c r="AB18" i="2" s="1"/>
  <c r="AB19" i="2" s="1"/>
  <c r="AB20" i="2" s="1"/>
  <c r="AB21" i="2" s="1"/>
  <c r="AB22" i="2" s="1"/>
  <c r="AB23" i="2" s="1"/>
  <c r="AB24" i="2" s="1"/>
  <c r="AB25" i="2" s="1"/>
  <c r="AB26" i="2" s="1"/>
  <c r="AB27" i="2" s="1"/>
  <c r="AB28" i="2" s="1"/>
  <c r="AB29" i="2" s="1"/>
  <c r="AB30" i="2" s="1"/>
  <c r="AB31" i="2" s="1"/>
  <c r="AB32" i="2" s="1"/>
  <c r="AB33" i="2" s="1"/>
  <c r="AB34" i="2" s="1"/>
  <c r="AB35" i="2" s="1"/>
  <c r="AB36" i="2" s="1"/>
  <c r="AB37" i="2" s="1"/>
  <c r="AB38" i="2" s="1"/>
  <c r="AB39" i="2" s="1"/>
  <c r="AB40" i="2" s="1"/>
  <c r="AB41" i="2" s="1"/>
  <c r="AB42" i="2" s="1"/>
  <c r="AB43" i="2" s="1"/>
  <c r="AB44" i="2" s="1"/>
  <c r="AB45" i="2" s="1"/>
  <c r="AB46" i="2" s="1"/>
  <c r="AB47" i="2" s="1"/>
  <c r="AB48" i="2" s="1"/>
  <c r="AB49" i="2" s="1"/>
  <c r="AB50" i="2" s="1"/>
  <c r="AB51" i="2" s="1"/>
  <c r="AB52" i="2" s="1"/>
  <c r="AB53" i="2" s="1"/>
  <c r="AB54" i="2" s="1"/>
  <c r="AB55" i="2" s="1"/>
  <c r="AB56" i="2" s="1"/>
  <c r="AB57" i="2" s="1"/>
  <c r="AB58" i="2" s="1"/>
  <c r="Q8" i="2"/>
  <c r="F8" i="2"/>
  <c r="E8" i="2"/>
  <c r="D8" i="2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B8" i="2"/>
  <c r="AB7" i="2"/>
  <c r="Q7" i="2"/>
  <c r="O7" i="2"/>
  <c r="O8" i="2" s="1"/>
  <c r="O9" i="2" s="1"/>
  <c r="O10" i="2" s="1"/>
  <c r="O11" i="2" s="1"/>
  <c r="O12" i="2" s="1"/>
  <c r="O13" i="2" s="1"/>
  <c r="O14" i="2" s="1"/>
  <c r="O15" i="2" s="1"/>
  <c r="O16" i="2" s="1"/>
  <c r="O17" i="2" s="1"/>
  <c r="O18" i="2" s="1"/>
  <c r="O19" i="2" s="1"/>
  <c r="O20" i="2" s="1"/>
  <c r="O21" i="2" s="1"/>
  <c r="O22" i="2" s="1"/>
  <c r="O23" i="2" s="1"/>
  <c r="O24" i="2" s="1"/>
  <c r="O25" i="2" s="1"/>
  <c r="O26" i="2" s="1"/>
  <c r="O27" i="2" s="1"/>
  <c r="O28" i="2" s="1"/>
  <c r="O29" i="2" s="1"/>
  <c r="O30" i="2" s="1"/>
  <c r="O31" i="2" s="1"/>
  <c r="O32" i="2" s="1"/>
  <c r="O33" i="2" s="1"/>
  <c r="O34" i="2" s="1"/>
  <c r="O35" i="2" s="1"/>
  <c r="O36" i="2" s="1"/>
  <c r="O37" i="2" s="1"/>
  <c r="O38" i="2" s="1"/>
  <c r="O39" i="2" s="1"/>
  <c r="O40" i="2" s="1"/>
  <c r="O41" i="2" s="1"/>
  <c r="O42" i="2" s="1"/>
  <c r="O43" i="2" s="1"/>
  <c r="O44" i="2" s="1"/>
  <c r="O45" i="2" s="1"/>
  <c r="O46" i="2" s="1"/>
  <c r="O47" i="2" s="1"/>
  <c r="O48" i="2" s="1"/>
  <c r="O49" i="2" s="1"/>
  <c r="O50" i="2" s="1"/>
  <c r="O51" i="2" s="1"/>
  <c r="O52" i="2" s="1"/>
  <c r="O53" i="2" s="1"/>
  <c r="O54" i="2" s="1"/>
  <c r="O55" i="2" s="1"/>
  <c r="O56" i="2" s="1"/>
  <c r="O57" i="2" s="1"/>
  <c r="O58" i="2" s="1"/>
  <c r="N7" i="2"/>
  <c r="N8" i="2" s="1"/>
  <c r="N9" i="2" s="1"/>
  <c r="N10" i="2" s="1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N38" i="2" s="1"/>
  <c r="N39" i="2" s="1"/>
  <c r="N40" i="2" s="1"/>
  <c r="N41" i="2" s="1"/>
  <c r="N42" i="2" s="1"/>
  <c r="N43" i="2" s="1"/>
  <c r="N44" i="2" s="1"/>
  <c r="N45" i="2" s="1"/>
  <c r="N46" i="2" s="1"/>
  <c r="N47" i="2" s="1"/>
  <c r="N48" i="2" s="1"/>
  <c r="N49" i="2" s="1"/>
  <c r="N50" i="2" s="1"/>
  <c r="N51" i="2" s="1"/>
  <c r="N52" i="2" s="1"/>
  <c r="N53" i="2" s="1"/>
  <c r="N54" i="2" s="1"/>
  <c r="N55" i="2" s="1"/>
  <c r="N56" i="2" s="1"/>
  <c r="N57" i="2" s="1"/>
  <c r="N58" i="2" s="1"/>
  <c r="M7" i="2"/>
  <c r="M8" i="2" s="1"/>
  <c r="M9" i="2" s="1"/>
  <c r="M10" i="2" s="1"/>
  <c r="M11" i="2" s="1"/>
  <c r="M12" i="2" s="1"/>
  <c r="M13" i="2" s="1"/>
  <c r="M14" i="2" s="1"/>
  <c r="M15" i="2" s="1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M35" i="2" s="1"/>
  <c r="M36" i="2" s="1"/>
  <c r="M37" i="2" s="1"/>
  <c r="M38" i="2" s="1"/>
  <c r="M39" i="2" s="1"/>
  <c r="M40" i="2" s="1"/>
  <c r="M41" i="2" s="1"/>
  <c r="M42" i="2" s="1"/>
  <c r="M43" i="2" s="1"/>
  <c r="M44" i="2" s="1"/>
  <c r="M45" i="2" s="1"/>
  <c r="M46" i="2" s="1"/>
  <c r="M47" i="2" s="1"/>
  <c r="M48" i="2" s="1"/>
  <c r="M49" i="2" s="1"/>
  <c r="M50" i="2" s="1"/>
  <c r="M51" i="2" s="1"/>
  <c r="M52" i="2" s="1"/>
  <c r="M53" i="2" s="1"/>
  <c r="M54" i="2" s="1"/>
  <c r="M55" i="2" s="1"/>
  <c r="M56" i="2" s="1"/>
  <c r="M57" i="2" s="1"/>
  <c r="M58" i="2" s="1"/>
  <c r="F7" i="2"/>
  <c r="E7" i="2"/>
  <c r="D7" i="2"/>
  <c r="C7" i="2"/>
  <c r="C8" i="2" s="1"/>
  <c r="B7" i="2"/>
  <c r="E6" i="2"/>
  <c r="Q6" i="2" s="1"/>
  <c r="B6" i="2"/>
</calcChain>
</file>

<file path=xl/sharedStrings.xml><?xml version="1.0" encoding="utf-8"?>
<sst xmlns="http://schemas.openxmlformats.org/spreadsheetml/2006/main" count="257" uniqueCount="112">
  <si>
    <t>Doccument Date</t>
  </si>
  <si>
    <t>Posting Date</t>
  </si>
  <si>
    <t>Executable Action</t>
  </si>
  <si>
    <t>Reference Document</t>
  </si>
  <si>
    <t>Text Header</t>
  </si>
  <si>
    <t>Movement type</t>
  </si>
  <si>
    <t>Special Stock Indicator</t>
  </si>
  <si>
    <t>Reservation/
Material Document</t>
  </si>
  <si>
    <t>Item</t>
  </si>
  <si>
    <t>Material number</t>
  </si>
  <si>
    <t>Quantity</t>
  </si>
  <si>
    <t>Unit</t>
  </si>
  <si>
    <t>Issusing Plant</t>
  </si>
  <si>
    <t>Issusing Slog</t>
  </si>
  <si>
    <t>Batch</t>
  </si>
  <si>
    <t>Unloading point</t>
  </si>
  <si>
    <t>Text</t>
  </si>
  <si>
    <t xml:space="preserve">GL account </t>
  </si>
  <si>
    <t>Cost center</t>
  </si>
  <si>
    <t>Main Asset</t>
  </si>
  <si>
    <t>Sub Asset</t>
  </si>
  <si>
    <t>Order</t>
  </si>
  <si>
    <t>Fund</t>
  </si>
  <si>
    <t>Functional Area</t>
  </si>
  <si>
    <t>Reason for movement</t>
  </si>
  <si>
    <t>Receipt Plant</t>
  </si>
  <si>
    <t>Receipt Storage Location</t>
  </si>
  <si>
    <t>Receipt Batch</t>
  </si>
  <si>
    <t>R</t>
  </si>
  <si>
    <t>O</t>
  </si>
  <si>
    <t>UMNAME1</t>
  </si>
  <si>
    <t>UMLGOBE</t>
  </si>
  <si>
    <t>UMCHA</t>
  </si>
  <si>
    <t>Ngày tạo chứng từ</t>
  </si>
  <si>
    <t>Ngày nhập xuất kho</t>
  </si>
  <si>
    <t>Chức năng thực hiện</t>
  </si>
  <si>
    <t>Loại chứng từ nhập xuất</t>
  </si>
  <si>
    <t>Tên người giao hàng</t>
  </si>
  <si>
    <t>Mã giao dịch kho</t>
  </si>
  <si>
    <t>Mã nếu có</t>
  </si>
  <si>
    <t xml:space="preserve">Item </t>
  </si>
  <si>
    <t>Mã vật tư</t>
  </si>
  <si>
    <t>Số lượng</t>
  </si>
  <si>
    <t>ĐVT</t>
  </si>
  <si>
    <t>Cơ sở xuất hàng</t>
  </si>
  <si>
    <t>Kho xuất hàng</t>
  </si>
  <si>
    <t>Mã lô</t>
  </si>
  <si>
    <t>Tên đơn vị trên phiếu nhập kho</t>
  </si>
  <si>
    <t>Mã tài khoản</t>
  </si>
  <si>
    <t>Trung tâm phát sinh chi phí</t>
  </si>
  <si>
    <t>Mã tài sản</t>
  </si>
  <si>
    <t>Sub asset</t>
  </si>
  <si>
    <t>Mã chương trình sự kiện</t>
  </si>
  <si>
    <t>Mã Cost place</t>
  </si>
  <si>
    <t>Mã hợp đồng</t>
  </si>
  <si>
    <t>Lý do xuất kho</t>
  </si>
  <si>
    <t>Kho nhận hàng khi thực hiện chuyển kho</t>
  </si>
  <si>
    <t>Kho vật lý nhận hàng khi thực hiện  chuyển kho</t>
  </si>
  <si>
    <t>Batch nhận hàng khi thực hiện chuyển kho</t>
  </si>
  <si>
    <t>Nhập theo định dạng DD.MM.YYYY</t>
  </si>
  <si>
    <t>Mặc định
A07: Goods issue</t>
  </si>
  <si>
    <t>Người dùng nhập tự do:
R09: Reservation
R10: Others</t>
  </si>
  <si>
    <t>Nhập diễn giải đầu tiêu đề</t>
  </si>
  <si>
    <t xml:space="preserve">Người dùng nhập tự do
- 241: xuất vật tư thành CCDC
- Z69: xuất vật tư thành tài sản
- Z75: xuất vật tư cho chương trình sự kiện
- Z77: xuất vật tư thanh lý
- Z57: xuất vật tư vào chi phí
</t>
  </si>
  <si>
    <t>Người dùng nhập tự do</t>
  </si>
  <si>
    <t>Người dùng nhập mã PO/Reservation</t>
  </si>
  <si>
    <t>Nhập số thứ tự trên PO/Reservation</t>
  </si>
  <si>
    <t>Nhập đơn vị tính</t>
  </si>
  <si>
    <t>Nhập batch nếu vật tư có quản lý theo lô</t>
  </si>
  <si>
    <t>Người dùng nhập tên đơn vị xuất kho</t>
  </si>
  <si>
    <t>Người dùng nhập tên người thực hiện nhận hàng</t>
  </si>
  <si>
    <t>Người dùng nhập mã trung tâm phát sinh chi phí</t>
  </si>
  <si>
    <t>Người dùng nhập mã tài sản</t>
  </si>
  <si>
    <t>Mã Sub-asset</t>
  </si>
  <si>
    <t>Người dùng nhập mã chương trình sự kiện cần xuất vật tư</t>
  </si>
  <si>
    <t>Người dùng nhập mã Cost place</t>
  </si>
  <si>
    <t xml:space="preserve">Người dùng nhập </t>
  </si>
  <si>
    <t>Chỉ dùng khi thực hiện chuyển kho bằng movement type Z55</t>
  </si>
  <si>
    <t>28.07.2026</t>
  </si>
  <si>
    <t>A07</t>
  </si>
  <si>
    <t>R10</t>
  </si>
  <si>
    <t>Z55</t>
  </si>
  <si>
    <t>29.07.2026</t>
  </si>
  <si>
    <t>30.07.2026</t>
  </si>
  <si>
    <t>31.07.2026</t>
  </si>
  <si>
    <t>ĐC Bia BULGOGI 31.07</t>
  </si>
  <si>
    <t>theo ngày thực tế xuất kho</t>
  </si>
  <si>
    <t>Cố định "A07"</t>
  </si>
  <si>
    <t>Cố định "R10"</t>
  </si>
  <si>
    <t>ghi theo công thức " ĐC Bia + địa điểm xuất bia + ngày xuất bia"</t>
  </si>
  <si>
    <t>Cố định "z55"</t>
  </si>
  <si>
    <t>mã bia</t>
  </si>
  <si>
    <t>sô lượng bia xuất</t>
  </si>
  <si>
    <t>cố định 1263</t>
  </si>
  <si>
    <t>cố định 2143</t>
  </si>
  <si>
    <t>cố định 1368</t>
  </si>
  <si>
    <t>giống với cột số 5</t>
  </si>
  <si>
    <t>mỗi đại điểm có 1 mã plant riêng</t>
  </si>
  <si>
    <t>mỗi địa điểm có Receipt Storage Location</t>
  </si>
  <si>
    <t>BNC · 1901</t>
  </si>
  <si>
    <t>BNC · Lễ Hội Bia</t>
  </si>
  <si>
    <t>BNC · Plaza</t>
  </si>
  <si>
    <t>BNC · Kavkaz</t>
  </si>
  <si>
    <t>BNC · 4 Mùa</t>
  </si>
  <si>
    <t>BNC · Hội An</t>
  </si>
  <si>
    <t>BNC · Cổng Thành 1</t>
  </si>
  <si>
    <t>BNC · B8</t>
  </si>
  <si>
    <t>BNC · Taiga</t>
  </si>
  <si>
    <t>BNC · Gastrobup</t>
  </si>
  <si>
    <t>BNC · Cầu Vàng</t>
  </si>
  <si>
    <t>BNC · Ga 10</t>
  </si>
  <si>
    <t>BNC · Sunbun Vạn Hoa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</si>
</sst>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0_);[Red]\(0\)"/>
    <numFmt numFmtId="165" formatCode="0.000"/>
    <numFmt numFmtId="166" formatCode="0.0000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0"/>
      <color rgb="FF002060"/>
      <name val="Arial"/>
      <family val="2"/>
    </font>
    <font>
      <sz val="10"/>
      <name val="Arial"/>
      <family val="2"/>
    </font>
    <font>
      <sz val="11"/>
      <name val="Aptos Narrow"/>
      <family val="2"/>
      <scheme val="minor"/>
    </font>
    <font>
      <sz val="13"/>
      <name val="Times New Roman"/>
      <family val="1"/>
    </font>
    <font>
      <sz val="11"/>
      <color theme="8" tint="-0.249977111117893"/>
      <name val="Aptos Narrow"/>
      <family val="2"/>
      <scheme val="minor"/>
    </font>
    <font>
      <sz val="11"/>
      <color rgb="FF7030A0"/>
      <name val="Aptos Narrow"/>
      <family val="2"/>
      <scheme val="minor"/>
    </font>
    <font>
      <sz val="10"/>
      <color rgb="FF7030A0"/>
      <name val="Arial"/>
      <family val="2"/>
    </font>
    <font>
      <sz val="13"/>
      <color rgb="FF7030A0"/>
      <name val="Times New Roman"/>
      <family val="1"/>
    </font>
    <font>
      <sz val="11"/>
      <color theme="5" tint="-0.249977111117893"/>
      <name val="Aptos Narrow"/>
      <family val="2"/>
      <scheme val="minor"/>
    </font>
    <font>
      <sz val="10"/>
      <color theme="5" tint="-0.249977111117893"/>
      <name val="Arial"/>
      <family val="2"/>
    </font>
    <font>
      <sz val="13"/>
      <color theme="5" tint="-0.249977111117893"/>
      <name val="Times New Roman"/>
      <family val="1"/>
    </font>
    <font>
      <sz val="11"/>
      <color theme="4" tint="-0.249977111117893"/>
      <name val="Aptos Narrow"/>
      <family val="2"/>
      <scheme val="minor"/>
    </font>
    <font>
      <sz val="10"/>
      <color theme="4" tint="-0.249977111117893"/>
      <name val="Arial"/>
      <family val="2"/>
    </font>
    <font>
      <sz val="13"/>
      <color theme="4" tint="-0.249977111117893"/>
      <name val="Times New Roman"/>
      <family val="1"/>
    </font>
    <font>
      <sz val="10"/>
      <color rgb="FFFF0000"/>
      <name val="Arial"/>
      <family val="2"/>
    </font>
    <font>
      <sz val="13"/>
      <color rgb="FFFF0000"/>
      <name val="Times New Roman"/>
      <family val="1"/>
    </font>
    <font>
      <sz val="11"/>
      <color theme="9" tint="-0.249977111117893"/>
      <name val="Aptos Narrow"/>
      <family val="2"/>
      <scheme val="minor"/>
    </font>
    <font>
      <sz val="13"/>
      <color rgb="FF000000"/>
      <name val="Times New Roman"/>
      <family val="1"/>
    </font>
    <font>
      <sz val="11"/>
      <color theme="7"/>
      <name val="Aptos Narrow"/>
      <family val="2"/>
      <scheme val="minor"/>
    </font>
    <font>
      <sz val="10"/>
      <color theme="7"/>
      <name val="Arial"/>
      <family val="2"/>
    </font>
    <font>
      <sz val="13"/>
      <color theme="7"/>
      <name val="Times New Roman"/>
      <family val="1"/>
    </font>
    <font>
      <sz val="10"/>
      <color rgb="FF1B2A33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B400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5F7F9"/>
      </patternFill>
    </fill>
    <fill>
      <patternFill patternType="solid">
        <fgColor rgb="FF8EA9DB"/>
        <bgColor rgb="FF000000"/>
      </patternFill>
    </fill>
  </fills>
  <borders count="8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rgb="FF808080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B7C4CC"/>
      </left>
      <right style="thin">
        <color rgb="FFB7C4CC"/>
      </right>
      <top style="thin">
        <color rgb="FFB7C4CC"/>
      </top>
      <bottom style="thin">
        <color rgb="FFB7C4CC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0">
    <xf numFmtId="0" fontId="0" fillId="0" borderId="0" xfId="0"/>
    <xf numFmtId="0" fontId="3" fillId="2" borderId="1" xfId="0" applyFont="1" applyFill="1" applyBorder="1" applyAlignment="1">
      <alignment horizontal="left" vertical="center" wrapText="1"/>
    </xf>
    <xf numFmtId="0" fontId="4" fillId="0" borderId="0" xfId="0" applyFont="1"/>
    <xf numFmtId="164" fontId="4" fillId="3" borderId="2" xfId="1" quotePrefix="1" applyNumberFormat="1" applyFont="1" applyFill="1" applyBorder="1" applyAlignment="1">
      <alignment horizontal="center" vertical="center" wrapText="1"/>
    </xf>
    <xf numFmtId="49" fontId="0" fillId="3" borderId="2" xfId="0" applyNumberFormat="1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2" fillId="4" borderId="3" xfId="0" applyFont="1" applyFill="1" applyBorder="1"/>
    <xf numFmtId="14" fontId="4" fillId="4" borderId="0" xfId="0" applyNumberFormat="1" applyFont="1" applyFill="1"/>
    <xf numFmtId="0" fontId="4" fillId="4" borderId="0" xfId="0" applyFont="1" applyFill="1"/>
    <xf numFmtId="0" fontId="2" fillId="4" borderId="4" xfId="0" applyFont="1" applyFill="1" applyBorder="1"/>
    <xf numFmtId="165" fontId="2" fillId="4" borderId="5" xfId="0" applyNumberFormat="1" applyFont="1" applyFill="1" applyBorder="1"/>
    <xf numFmtId="0" fontId="5" fillId="4" borderId="0" xfId="0" applyFont="1" applyFill="1"/>
    <xf numFmtId="0" fontId="5" fillId="4" borderId="0" xfId="0" applyFont="1" applyFill="1" applyAlignment="1">
      <alignment vertical="top"/>
    </xf>
    <xf numFmtId="0" fontId="6" fillId="4" borderId="4" xfId="0" applyFont="1" applyFill="1" applyBorder="1" applyAlignment="1">
      <alignment horizontal="center" vertical="center"/>
    </xf>
    <xf numFmtId="0" fontId="2" fillId="4" borderId="6" xfId="0" applyFont="1" applyFill="1" applyBorder="1"/>
    <xf numFmtId="165" fontId="2" fillId="4" borderId="0" xfId="0" applyNumberFormat="1" applyFont="1" applyFill="1"/>
    <xf numFmtId="0" fontId="2" fillId="4" borderId="0" xfId="0" applyFont="1" applyFill="1"/>
    <xf numFmtId="0" fontId="2" fillId="4" borderId="5" xfId="0" applyFont="1" applyFill="1" applyBorder="1"/>
    <xf numFmtId="0" fontId="7" fillId="4" borderId="3" xfId="0" applyFont="1" applyFill="1" applyBorder="1"/>
    <xf numFmtId="0" fontId="7" fillId="4" borderId="5" xfId="0" applyFont="1" applyFill="1" applyBorder="1"/>
    <xf numFmtId="165" fontId="7" fillId="4" borderId="5" xfId="0" applyNumberFormat="1" applyFont="1" applyFill="1" applyBorder="1"/>
    <xf numFmtId="0" fontId="7" fillId="4" borderId="6" xfId="0" applyFont="1" applyFill="1" applyBorder="1"/>
    <xf numFmtId="0" fontId="7" fillId="5" borderId="0" xfId="0" applyFont="1" applyFill="1"/>
    <xf numFmtId="165" fontId="7" fillId="5" borderId="0" xfId="0" applyNumberFormat="1" applyFont="1" applyFill="1"/>
    <xf numFmtId="0" fontId="7" fillId="0" borderId="5" xfId="0" applyFont="1" applyBorder="1"/>
    <xf numFmtId="165" fontId="7" fillId="0" borderId="5" xfId="0" applyNumberFormat="1" applyFont="1" applyBorder="1"/>
    <xf numFmtId="0" fontId="7" fillId="0" borderId="0" xfId="0" applyFont="1"/>
    <xf numFmtId="165" fontId="7" fillId="0" borderId="0" xfId="0" applyNumberFormat="1" applyFont="1"/>
    <xf numFmtId="0" fontId="8" fillId="5" borderId="6" xfId="0" applyFont="1" applyFill="1" applyBorder="1"/>
    <xf numFmtId="14" fontId="9" fillId="4" borderId="0" xfId="0" applyNumberFormat="1" applyFont="1" applyFill="1"/>
    <xf numFmtId="0" fontId="9" fillId="4" borderId="0" xfId="0" applyFont="1" applyFill="1"/>
    <xf numFmtId="0" fontId="8" fillId="0" borderId="0" xfId="0" applyFont="1"/>
    <xf numFmtId="0" fontId="8" fillId="5" borderId="0" xfId="0" applyFont="1" applyFill="1"/>
    <xf numFmtId="165" fontId="8" fillId="5" borderId="0" xfId="0" applyNumberFormat="1" applyFont="1" applyFill="1"/>
    <xf numFmtId="0" fontId="8" fillId="4" borderId="0" xfId="0" applyFont="1" applyFill="1"/>
    <xf numFmtId="0" fontId="10" fillId="0" borderId="4" xfId="0" applyFont="1" applyBorder="1"/>
    <xf numFmtId="0" fontId="8" fillId="0" borderId="6" xfId="0" applyFont="1" applyBorder="1"/>
    <xf numFmtId="165" fontId="8" fillId="0" borderId="0" xfId="0" applyNumberFormat="1" applyFont="1"/>
    <xf numFmtId="0" fontId="11" fillId="0" borderId="6" xfId="0" applyFont="1" applyBorder="1"/>
    <xf numFmtId="14" fontId="12" fillId="4" borderId="0" xfId="0" applyNumberFormat="1" applyFont="1" applyFill="1"/>
    <xf numFmtId="0" fontId="12" fillId="4" borderId="0" xfId="0" applyFont="1" applyFill="1"/>
    <xf numFmtId="0" fontId="11" fillId="0" borderId="0" xfId="0" applyFont="1"/>
    <xf numFmtId="165" fontId="11" fillId="0" borderId="0" xfId="0" applyNumberFormat="1" applyFont="1"/>
    <xf numFmtId="0" fontId="11" fillId="4" borderId="0" xfId="0" applyFont="1" applyFill="1"/>
    <xf numFmtId="0" fontId="13" fillId="0" borderId="4" xfId="0" applyFont="1" applyBorder="1"/>
    <xf numFmtId="0" fontId="11" fillId="5" borderId="6" xfId="0" applyFont="1" applyFill="1" applyBorder="1"/>
    <xf numFmtId="0" fontId="11" fillId="5" borderId="0" xfId="0" applyFont="1" applyFill="1"/>
    <xf numFmtId="165" fontId="11" fillId="5" borderId="0" xfId="0" applyNumberFormat="1" applyFont="1" applyFill="1"/>
    <xf numFmtId="0" fontId="14" fillId="0" borderId="6" xfId="0" applyFont="1" applyBorder="1"/>
    <xf numFmtId="14" fontId="15" fillId="4" borderId="0" xfId="0" applyNumberFormat="1" applyFont="1" applyFill="1"/>
    <xf numFmtId="0" fontId="15" fillId="4" borderId="0" xfId="0" applyFont="1" applyFill="1"/>
    <xf numFmtId="0" fontId="14" fillId="0" borderId="0" xfId="0" applyFont="1"/>
    <xf numFmtId="165" fontId="14" fillId="0" borderId="0" xfId="0" applyNumberFormat="1" applyFont="1"/>
    <xf numFmtId="0" fontId="14" fillId="4" borderId="0" xfId="0" applyFont="1" applyFill="1"/>
    <xf numFmtId="0" fontId="16" fillId="0" borderId="4" xfId="0" applyFont="1" applyBorder="1"/>
    <xf numFmtId="0" fontId="2" fillId="0" borderId="6" xfId="0" applyFont="1" applyBorder="1"/>
    <xf numFmtId="14" fontId="17" fillId="4" borderId="0" xfId="0" applyNumberFormat="1" applyFont="1" applyFill="1"/>
    <xf numFmtId="0" fontId="17" fillId="4" borderId="0" xfId="0" applyFont="1" applyFill="1"/>
    <xf numFmtId="0" fontId="2" fillId="0" borderId="0" xfId="0" applyFont="1"/>
    <xf numFmtId="165" fontId="2" fillId="0" borderId="0" xfId="0" applyNumberFormat="1" applyFont="1"/>
    <xf numFmtId="0" fontId="18" fillId="0" borderId="4" xfId="0" applyFont="1" applyBorder="1"/>
    <xf numFmtId="0" fontId="19" fillId="5" borderId="6" xfId="0" applyFont="1" applyFill="1" applyBorder="1"/>
    <xf numFmtId="0" fontId="19" fillId="5" borderId="0" xfId="0" applyFont="1" applyFill="1"/>
    <xf numFmtId="165" fontId="19" fillId="5" borderId="0" xfId="0" applyNumberFormat="1" applyFont="1" applyFill="1"/>
    <xf numFmtId="0" fontId="20" fillId="0" borderId="4" xfId="0" applyFont="1" applyBorder="1"/>
    <xf numFmtId="0" fontId="2" fillId="5" borderId="6" xfId="0" applyFont="1" applyFill="1" applyBorder="1"/>
    <xf numFmtId="0" fontId="2" fillId="5" borderId="0" xfId="0" applyFont="1" applyFill="1"/>
    <xf numFmtId="165" fontId="2" fillId="5" borderId="0" xfId="0" applyNumberFormat="1" applyFont="1" applyFill="1"/>
    <xf numFmtId="0" fontId="21" fillId="0" borderId="6" xfId="0" applyFont="1" applyBorder="1"/>
    <xf numFmtId="0" fontId="22" fillId="0" borderId="0" xfId="0" applyFont="1"/>
    <xf numFmtId="0" fontId="21" fillId="0" borderId="0" xfId="0" applyFont="1"/>
    <xf numFmtId="165" fontId="21" fillId="0" borderId="0" xfId="0" applyNumberFormat="1" applyFont="1"/>
    <xf numFmtId="0" fontId="23" fillId="0" borderId="4" xfId="0" applyFont="1" applyBorder="1"/>
    <xf numFmtId="0" fontId="19" fillId="5" borderId="3" xfId="0" applyFont="1" applyFill="1" applyBorder="1"/>
    <xf numFmtId="14" fontId="4" fillId="0" borderId="0" xfId="0" applyNumberFormat="1" applyFont="1"/>
    <xf numFmtId="0" fontId="19" fillId="5" borderId="5" xfId="0" applyFont="1" applyFill="1" applyBorder="1"/>
    <xf numFmtId="165" fontId="19" fillId="5" borderId="5" xfId="0" applyNumberFormat="1" applyFont="1" applyFill="1" applyBorder="1"/>
    <xf numFmtId="0" fontId="19" fillId="0" borderId="6" xfId="0" applyFont="1" applyBorder="1"/>
    <xf numFmtId="0" fontId="19" fillId="0" borderId="0" xfId="0" applyFont="1"/>
    <xf numFmtId="165" fontId="19" fillId="0" borderId="0" xfId="0" applyNumberFormat="1" applyFont="1"/>
    <xf numFmtId="0" fontId="19" fillId="0" borderId="3" xfId="0" applyFont="1" applyBorder="1"/>
    <xf numFmtId="0" fontId="19" fillId="0" borderId="5" xfId="0" applyFont="1" applyBorder="1"/>
    <xf numFmtId="165" fontId="19" fillId="0" borderId="5" xfId="0" applyNumberFormat="1" applyFont="1" applyBorder="1"/>
    <xf numFmtId="166" fontId="19" fillId="5" borderId="0" xfId="0" applyNumberFormat="1" applyFont="1" applyFill="1"/>
    <xf numFmtId="166" fontId="19" fillId="0" borderId="0" xfId="0" applyNumberFormat="1" applyFont="1"/>
    <xf numFmtId="0" fontId="24" fillId="0" borderId="7" xfId="0" applyFont="1" applyBorder="1" applyAlignment="1">
      <alignment horizontal="left" vertical="center"/>
    </xf>
    <xf numFmtId="0" fontId="24" fillId="6" borderId="7" xfId="0" applyFont="1" applyFill="1" applyBorder="1" applyAlignment="1">
      <alignment horizontal="left" vertical="center"/>
    </xf>
    <xf numFmtId="0" fontId="20" fillId="7" borderId="4" xfId="0" applyFont="1" applyFill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7" borderId="4" xfId="0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463A5-40E1-4A18-AE1E-781D901EFD1B}">
  <sheetPr>
    <tabColor rgb="FF92D050"/>
  </sheetPr>
  <dimension ref="A1:AB108"/>
  <sheetViews>
    <sheetView topLeftCell="O1" workbookViewId="0">
      <selection activeCell="Z1" sqref="Z1:AA1"/>
    </sheetView>
  </sheetViews>
  <sheetFormatPr defaultColWidth="9.140625" defaultRowHeight="15" x14ac:dyDescent="0.25"/>
  <cols>
    <col min="1" max="1" width="11.28515625" customWidth="1"/>
    <col min="2" max="2" width="11.140625" customWidth="1"/>
    <col min="3" max="4" width="21.28515625" customWidth="1"/>
    <col min="5" max="5" width="33.42578125" customWidth="1"/>
    <col min="6" max="6" width="31.7109375" customWidth="1"/>
    <col min="7" max="7" width="16.42578125" customWidth="1"/>
    <col min="8" max="8" width="18" customWidth="1"/>
    <col min="9" max="15" width="11.7109375" customWidth="1"/>
    <col min="16" max="16" width="13.85546875" customWidth="1"/>
    <col min="17" max="17" width="32.42578125" bestFit="1" customWidth="1"/>
    <col min="18" max="21" width="12.7109375" customWidth="1"/>
    <col min="22" max="22" width="19.42578125" customWidth="1"/>
    <col min="23" max="23" width="12.7109375" customWidth="1"/>
    <col min="24" max="24" width="17.85546875" customWidth="1"/>
    <col min="26" max="26" width="20.28515625" bestFit="1" customWidth="1"/>
    <col min="27" max="27" width="23" bestFit="1" customWidth="1"/>
    <col min="28" max="28" width="20.28515625" bestFit="1" customWidth="1"/>
  </cols>
  <sheetData>
    <row r="1" spans="1:28" s="2" customFormat="1" ht="36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s="2" customFormat="1" ht="22.5" customHeight="1" x14ac:dyDescent="0.2">
      <c r="A2" s="1" t="s">
        <v>28</v>
      </c>
      <c r="B2" s="1" t="s">
        <v>28</v>
      </c>
      <c r="C2" s="1" t="s">
        <v>28</v>
      </c>
      <c r="D2" s="1" t="s">
        <v>28</v>
      </c>
      <c r="E2" s="1" t="s">
        <v>29</v>
      </c>
      <c r="F2" s="1" t="s">
        <v>29</v>
      </c>
      <c r="G2" s="1" t="s">
        <v>29</v>
      </c>
      <c r="H2" s="1" t="s">
        <v>29</v>
      </c>
      <c r="I2" s="1" t="s">
        <v>29</v>
      </c>
      <c r="J2" s="1" t="s">
        <v>29</v>
      </c>
      <c r="K2" s="1" t="s">
        <v>29</v>
      </c>
      <c r="L2" s="1" t="s">
        <v>29</v>
      </c>
      <c r="M2" s="1" t="s">
        <v>28</v>
      </c>
      <c r="N2" s="1" t="s">
        <v>28</v>
      </c>
      <c r="O2" s="1" t="s">
        <v>29</v>
      </c>
      <c r="P2" s="1" t="s">
        <v>29</v>
      </c>
      <c r="Q2" s="1" t="s">
        <v>29</v>
      </c>
      <c r="R2" s="1" t="s">
        <v>29</v>
      </c>
      <c r="S2" s="1" t="s">
        <v>29</v>
      </c>
      <c r="T2" s="1" t="s">
        <v>29</v>
      </c>
      <c r="U2" s="1" t="s">
        <v>29</v>
      </c>
      <c r="V2" s="1" t="s">
        <v>29</v>
      </c>
      <c r="W2" s="1" t="s">
        <v>29</v>
      </c>
      <c r="X2" s="1" t="s">
        <v>29</v>
      </c>
      <c r="Y2" s="1" t="s">
        <v>29</v>
      </c>
      <c r="Z2" s="1" t="s">
        <v>30</v>
      </c>
      <c r="AA2" s="1" t="s">
        <v>31</v>
      </c>
      <c r="AB2" s="1" t="s">
        <v>32</v>
      </c>
    </row>
    <row r="3" spans="1:28" s="2" customFormat="1" ht="32.25" customHeight="1" x14ac:dyDescent="0.2">
      <c r="A3" s="1" t="s">
        <v>33</v>
      </c>
      <c r="B3" s="1" t="s">
        <v>34</v>
      </c>
      <c r="C3" s="1" t="s">
        <v>35</v>
      </c>
      <c r="D3" s="1" t="s">
        <v>36</v>
      </c>
      <c r="E3" s="1" t="s">
        <v>37</v>
      </c>
      <c r="F3" s="1" t="s">
        <v>38</v>
      </c>
      <c r="G3" s="1" t="s">
        <v>39</v>
      </c>
      <c r="H3" s="1" t="s">
        <v>7</v>
      </c>
      <c r="I3" s="1" t="s">
        <v>40</v>
      </c>
      <c r="J3" s="1" t="s">
        <v>41</v>
      </c>
      <c r="K3" s="1" t="s">
        <v>42</v>
      </c>
      <c r="L3" s="1" t="s">
        <v>43</v>
      </c>
      <c r="M3" s="1" t="s">
        <v>44</v>
      </c>
      <c r="N3" s="1" t="s">
        <v>45</v>
      </c>
      <c r="O3" s="1" t="s">
        <v>46</v>
      </c>
      <c r="P3" s="1" t="s">
        <v>47</v>
      </c>
      <c r="Q3" s="1" t="s">
        <v>37</v>
      </c>
      <c r="R3" s="1" t="s">
        <v>48</v>
      </c>
      <c r="S3" s="1" t="s">
        <v>49</v>
      </c>
      <c r="T3" s="1" t="s">
        <v>50</v>
      </c>
      <c r="U3" s="1" t="s">
        <v>51</v>
      </c>
      <c r="V3" s="1" t="s">
        <v>52</v>
      </c>
      <c r="W3" s="1" t="s">
        <v>53</v>
      </c>
      <c r="X3" s="1" t="s">
        <v>54</v>
      </c>
      <c r="Y3" s="1" t="s">
        <v>55</v>
      </c>
      <c r="Z3" s="1" t="s">
        <v>56</v>
      </c>
      <c r="AA3" s="1" t="s">
        <v>57</v>
      </c>
      <c r="AB3" s="1" t="s">
        <v>58</v>
      </c>
    </row>
    <row r="4" spans="1:28" s="2" customFormat="1" ht="12.75" x14ac:dyDescent="0.2">
      <c r="A4" s="3">
        <v>-1</v>
      </c>
      <c r="B4" s="3">
        <v>-2</v>
      </c>
      <c r="C4" s="3">
        <v>-3</v>
      </c>
      <c r="D4" s="3">
        <v>-4</v>
      </c>
      <c r="E4" s="3">
        <v>-5</v>
      </c>
      <c r="F4" s="3">
        <v>-6</v>
      </c>
      <c r="G4" s="3">
        <v>-7</v>
      </c>
      <c r="H4" s="3">
        <v>-8</v>
      </c>
      <c r="I4" s="3">
        <v>-9</v>
      </c>
      <c r="J4" s="3">
        <v>-10</v>
      </c>
      <c r="K4" s="3">
        <v>-11</v>
      </c>
      <c r="L4" s="3">
        <v>-12</v>
      </c>
      <c r="M4" s="3">
        <v>-13</v>
      </c>
      <c r="N4" s="3">
        <v>-14</v>
      </c>
      <c r="O4" s="3">
        <v>-15</v>
      </c>
      <c r="P4" s="3">
        <v>-16</v>
      </c>
      <c r="Q4" s="3">
        <v>-17</v>
      </c>
      <c r="R4" s="3">
        <v>-18</v>
      </c>
      <c r="S4" s="3">
        <v>-19</v>
      </c>
      <c r="T4" s="3">
        <v>-20</v>
      </c>
      <c r="U4" s="3">
        <v>-21</v>
      </c>
      <c r="V4" s="3">
        <v>-22</v>
      </c>
      <c r="W4" s="3">
        <v>-23</v>
      </c>
      <c r="X4" s="3">
        <v>-24</v>
      </c>
      <c r="Y4" s="3">
        <v>-25</v>
      </c>
      <c r="Z4" s="3">
        <v>-26</v>
      </c>
      <c r="AA4" s="3">
        <v>-27</v>
      </c>
      <c r="AB4" s="3">
        <v>-28</v>
      </c>
    </row>
    <row r="5" spans="1:28" s="2" customFormat="1" ht="78.75" customHeight="1" x14ac:dyDescent="0.2">
      <c r="A5" s="4" t="s">
        <v>59</v>
      </c>
      <c r="B5" s="4" t="s">
        <v>59</v>
      </c>
      <c r="C5" s="4" t="s">
        <v>60</v>
      </c>
      <c r="D5" s="4" t="s">
        <v>61</v>
      </c>
      <c r="E5" s="4" t="s">
        <v>62</v>
      </c>
      <c r="F5" s="4" t="s">
        <v>63</v>
      </c>
      <c r="G5" s="4" t="s">
        <v>64</v>
      </c>
      <c r="H5" s="4" t="s">
        <v>65</v>
      </c>
      <c r="I5" s="4" t="s">
        <v>66</v>
      </c>
      <c r="J5" s="4" t="s">
        <v>64</v>
      </c>
      <c r="K5" s="5" t="s">
        <v>64</v>
      </c>
      <c r="L5" s="4" t="s">
        <v>67</v>
      </c>
      <c r="M5" s="4" t="s">
        <v>64</v>
      </c>
      <c r="N5" s="4" t="s">
        <v>64</v>
      </c>
      <c r="O5" s="4" t="s">
        <v>68</v>
      </c>
      <c r="P5" s="4" t="s">
        <v>69</v>
      </c>
      <c r="Q5" s="4" t="s">
        <v>70</v>
      </c>
      <c r="R5" s="4" t="s">
        <v>64</v>
      </c>
      <c r="S5" s="4" t="s">
        <v>71</v>
      </c>
      <c r="T5" s="4" t="s">
        <v>72</v>
      </c>
      <c r="U5" s="4" t="s">
        <v>73</v>
      </c>
      <c r="V5" s="4" t="s">
        <v>74</v>
      </c>
      <c r="W5" s="4" t="s">
        <v>75</v>
      </c>
      <c r="X5" s="4" t="s">
        <v>76</v>
      </c>
      <c r="Y5" s="4" t="s">
        <v>76</v>
      </c>
      <c r="Z5" s="4" t="s">
        <v>77</v>
      </c>
      <c r="AA5" s="4" t="s">
        <v>77</v>
      </c>
      <c r="AB5" s="4" t="s">
        <v>77</v>
      </c>
    </row>
    <row r="6" spans="1:28" s="8" customFormat="1" ht="16.5" x14ac:dyDescent="0.25">
      <c r="A6" s="6" t="s">
        <v>78</v>
      </c>
      <c r="B6" s="7" t="str">
        <f>+A6</f>
        <v>28.07.2026</v>
      </c>
      <c r="C6" s="8" t="s">
        <v>79</v>
      </c>
      <c r="D6" s="8" t="s">
        <v>80</v>
      </c>
      <c r="E6" s="8" t="str">
        <f>"ĐC Bia LHB "&amp;LEFT(A6,5)</f>
        <v>ĐC Bia LHB 28.07</v>
      </c>
      <c r="F6" s="8" t="s">
        <v>81</v>
      </c>
      <c r="J6" s="9">
        <v>10168107</v>
      </c>
      <c r="K6" s="10">
        <v>61.8</v>
      </c>
      <c r="M6" s="11">
        <v>1263</v>
      </c>
      <c r="N6" s="12">
        <v>2143</v>
      </c>
      <c r="O6" s="8">
        <v>1368</v>
      </c>
      <c r="Q6" s="8" t="str">
        <f>E6</f>
        <v>ĐC Bia LHB 28.07</v>
      </c>
      <c r="S6" s="12"/>
      <c r="Z6" s="13">
        <v>1048</v>
      </c>
      <c r="AA6" s="13">
        <v>2025</v>
      </c>
      <c r="AB6" s="8">
        <v>1368</v>
      </c>
    </row>
    <row r="7" spans="1:28" s="8" customFormat="1" ht="16.5" x14ac:dyDescent="0.25">
      <c r="A7" s="14" t="s">
        <v>78</v>
      </c>
      <c r="B7" s="7" t="str">
        <f>+A7</f>
        <v>28.07.2026</v>
      </c>
      <c r="C7" s="8" t="str">
        <f t="shared" ref="C7:D22" si="0">+C6</f>
        <v>A07</v>
      </c>
      <c r="D7" s="8" t="str">
        <f>+D6</f>
        <v>R10</v>
      </c>
      <c r="E7" s="8" t="str">
        <f t="shared" ref="E7:E28" si="1">"ĐC Bia LHB "&amp;LEFT(A7,5)</f>
        <v>ĐC Bia LHB 28.07</v>
      </c>
      <c r="F7" s="8" t="str">
        <f>+F6</f>
        <v>Z55</v>
      </c>
      <c r="J7" s="9">
        <v>10174040</v>
      </c>
      <c r="K7" s="15">
        <v>61.8</v>
      </c>
      <c r="M7" s="11">
        <f t="shared" ref="M7:O22" si="2">+M6</f>
        <v>1263</v>
      </c>
      <c r="N7" s="11">
        <f t="shared" si="2"/>
        <v>2143</v>
      </c>
      <c r="O7" s="8">
        <f>+O6</f>
        <v>1368</v>
      </c>
      <c r="Q7" s="8" t="str">
        <f t="shared" ref="Q7:Q58" si="3">E7</f>
        <v>ĐC Bia LHB 28.07</v>
      </c>
      <c r="S7" s="12"/>
      <c r="Z7" s="13">
        <v>1048</v>
      </c>
      <c r="AA7" s="13">
        <v>2025</v>
      </c>
      <c r="AB7" s="8">
        <f>+AB6</f>
        <v>1368</v>
      </c>
    </row>
    <row r="8" spans="1:28" s="8" customFormat="1" ht="16.5" x14ac:dyDescent="0.25">
      <c r="A8" s="14" t="s">
        <v>78</v>
      </c>
      <c r="B8" s="7" t="str">
        <f t="shared" ref="B8:B58" si="4">+A8</f>
        <v>28.07.2026</v>
      </c>
      <c r="C8" s="8" t="str">
        <f t="shared" si="0"/>
        <v>A07</v>
      </c>
      <c r="D8" s="8" t="str">
        <f t="shared" si="0"/>
        <v>R10</v>
      </c>
      <c r="E8" s="8" t="str">
        <f t="shared" si="1"/>
        <v>ĐC Bia LHB 28.07</v>
      </c>
      <c r="F8" s="8" t="str">
        <f t="shared" ref="F8:F58" si="5">+F7</f>
        <v>Z55</v>
      </c>
      <c r="J8" s="9">
        <v>10191541</v>
      </c>
      <c r="K8" s="15">
        <v>82.4</v>
      </c>
      <c r="M8" s="11">
        <f t="shared" si="2"/>
        <v>1263</v>
      </c>
      <c r="N8" s="11">
        <f t="shared" si="2"/>
        <v>2143</v>
      </c>
      <c r="O8" s="8">
        <f t="shared" si="2"/>
        <v>1368</v>
      </c>
      <c r="Q8" s="8" t="str">
        <f t="shared" si="3"/>
        <v>ĐC Bia LHB 28.07</v>
      </c>
      <c r="Z8" s="13">
        <v>1048</v>
      </c>
      <c r="AA8" s="13">
        <v>2025</v>
      </c>
      <c r="AB8" s="8">
        <f t="shared" ref="AB8:AB58" si="6">+AB7</f>
        <v>1368</v>
      </c>
    </row>
    <row r="9" spans="1:28" s="8" customFormat="1" ht="16.5" x14ac:dyDescent="0.25">
      <c r="A9" s="6" t="s">
        <v>78</v>
      </c>
      <c r="B9" s="7" t="str">
        <f t="shared" si="4"/>
        <v>28.07.2026</v>
      </c>
      <c r="C9" s="8" t="str">
        <f t="shared" si="0"/>
        <v>A07</v>
      </c>
      <c r="D9" s="8" t="str">
        <f t="shared" si="0"/>
        <v>R10</v>
      </c>
      <c r="E9" s="8" t="str">
        <f t="shared" si="1"/>
        <v>ĐC Bia LHB 28.07</v>
      </c>
      <c r="F9" s="8" t="str">
        <f t="shared" si="5"/>
        <v>Z55</v>
      </c>
      <c r="J9" s="9">
        <v>10191539</v>
      </c>
      <c r="K9" s="10">
        <v>61.8</v>
      </c>
      <c r="M9" s="11">
        <f t="shared" si="2"/>
        <v>1263</v>
      </c>
      <c r="N9" s="11">
        <f t="shared" si="2"/>
        <v>2143</v>
      </c>
      <c r="O9" s="8">
        <f t="shared" si="2"/>
        <v>1368</v>
      </c>
      <c r="Q9" s="8" t="str">
        <f t="shared" si="3"/>
        <v>ĐC Bia LHB 28.07</v>
      </c>
      <c r="Z9" s="13">
        <v>1048</v>
      </c>
      <c r="AA9" s="13">
        <v>2025</v>
      </c>
      <c r="AB9" s="8">
        <f t="shared" si="6"/>
        <v>1368</v>
      </c>
    </row>
    <row r="10" spans="1:28" s="8" customFormat="1" ht="16.5" x14ac:dyDescent="0.25">
      <c r="A10" s="14" t="s">
        <v>82</v>
      </c>
      <c r="B10" s="7" t="str">
        <f t="shared" si="4"/>
        <v>29.07.2026</v>
      </c>
      <c r="C10" s="8" t="str">
        <f t="shared" si="0"/>
        <v>A07</v>
      </c>
      <c r="D10" s="8" t="str">
        <f t="shared" si="0"/>
        <v>R10</v>
      </c>
      <c r="E10" s="8" t="str">
        <f t="shared" si="1"/>
        <v>ĐC Bia LHB 29.07</v>
      </c>
      <c r="F10" s="8" t="str">
        <f t="shared" si="5"/>
        <v>Z55</v>
      </c>
      <c r="J10" s="9">
        <v>10168107</v>
      </c>
      <c r="K10" s="15">
        <v>82.4</v>
      </c>
      <c r="M10" s="11">
        <f t="shared" si="2"/>
        <v>1263</v>
      </c>
      <c r="N10" s="11">
        <f t="shared" si="2"/>
        <v>2143</v>
      </c>
      <c r="O10" s="8">
        <f t="shared" si="2"/>
        <v>1368</v>
      </c>
      <c r="Q10" s="8" t="str">
        <f t="shared" si="3"/>
        <v>ĐC Bia LHB 29.07</v>
      </c>
      <c r="Z10" s="13">
        <v>1048</v>
      </c>
      <c r="AA10" s="13">
        <v>2025</v>
      </c>
      <c r="AB10" s="8">
        <f t="shared" si="6"/>
        <v>1368</v>
      </c>
    </row>
    <row r="11" spans="1:28" s="8" customFormat="1" ht="16.5" x14ac:dyDescent="0.25">
      <c r="A11" s="14" t="s">
        <v>82</v>
      </c>
      <c r="B11" s="7" t="str">
        <f t="shared" si="4"/>
        <v>29.07.2026</v>
      </c>
      <c r="C11" s="8" t="str">
        <f t="shared" si="0"/>
        <v>A07</v>
      </c>
      <c r="D11" s="8" t="str">
        <f t="shared" si="0"/>
        <v>R10</v>
      </c>
      <c r="E11" s="8" t="str">
        <f t="shared" si="1"/>
        <v>ĐC Bia LHB 29.07</v>
      </c>
      <c r="F11" s="8" t="str">
        <f t="shared" si="5"/>
        <v>Z55</v>
      </c>
      <c r="J11" s="9">
        <v>10174040</v>
      </c>
      <c r="K11" s="15">
        <v>82.4</v>
      </c>
      <c r="M11" s="11">
        <f t="shared" si="2"/>
        <v>1263</v>
      </c>
      <c r="N11" s="11">
        <f t="shared" si="2"/>
        <v>2143</v>
      </c>
      <c r="O11" s="8">
        <f t="shared" si="2"/>
        <v>1368</v>
      </c>
      <c r="Q11" s="8" t="str">
        <f t="shared" si="3"/>
        <v>ĐC Bia LHB 29.07</v>
      </c>
      <c r="Z11" s="13">
        <v>1048</v>
      </c>
      <c r="AA11" s="13">
        <v>2025</v>
      </c>
      <c r="AB11" s="8">
        <f t="shared" si="6"/>
        <v>1368</v>
      </c>
    </row>
    <row r="12" spans="1:28" s="8" customFormat="1" ht="16.5" x14ac:dyDescent="0.25">
      <c r="A12" s="6" t="s">
        <v>82</v>
      </c>
      <c r="B12" s="7" t="str">
        <f t="shared" si="4"/>
        <v>29.07.2026</v>
      </c>
      <c r="C12" s="8" t="str">
        <f t="shared" si="0"/>
        <v>A07</v>
      </c>
      <c r="D12" s="8" t="str">
        <f t="shared" si="0"/>
        <v>R10</v>
      </c>
      <c r="E12" s="8" t="str">
        <f t="shared" si="1"/>
        <v>ĐC Bia LHB 29.07</v>
      </c>
      <c r="F12" s="8" t="str">
        <f t="shared" si="5"/>
        <v>Z55</v>
      </c>
      <c r="J12" s="9">
        <v>10168108</v>
      </c>
      <c r="K12" s="10">
        <v>61.8</v>
      </c>
      <c r="M12" s="11">
        <f t="shared" si="2"/>
        <v>1263</v>
      </c>
      <c r="N12" s="11">
        <f t="shared" si="2"/>
        <v>2143</v>
      </c>
      <c r="O12" s="8">
        <f t="shared" si="2"/>
        <v>1368</v>
      </c>
      <c r="Q12" s="8" t="str">
        <f t="shared" si="3"/>
        <v>ĐC Bia LHB 29.07</v>
      </c>
      <c r="Z12" s="13">
        <v>1048</v>
      </c>
      <c r="AA12" s="13">
        <v>2025</v>
      </c>
      <c r="AB12" s="8">
        <f t="shared" si="6"/>
        <v>1368</v>
      </c>
    </row>
    <row r="13" spans="1:28" s="8" customFormat="1" ht="16.5" x14ac:dyDescent="0.25">
      <c r="A13" s="14" t="s">
        <v>83</v>
      </c>
      <c r="B13" s="7" t="str">
        <f t="shared" si="4"/>
        <v>30.07.2026</v>
      </c>
      <c r="C13" s="8" t="str">
        <f t="shared" si="0"/>
        <v>A07</v>
      </c>
      <c r="D13" s="8" t="str">
        <f t="shared" si="0"/>
        <v>R10</v>
      </c>
      <c r="E13" s="8" t="str">
        <f t="shared" si="1"/>
        <v>ĐC Bia LHB 30.07</v>
      </c>
      <c r="F13" s="8" t="str">
        <f t="shared" si="5"/>
        <v>Z55</v>
      </c>
      <c r="J13" s="9">
        <v>10168107</v>
      </c>
      <c r="K13" s="15">
        <v>103</v>
      </c>
      <c r="M13" s="11">
        <f t="shared" si="2"/>
        <v>1263</v>
      </c>
      <c r="N13" s="11">
        <f t="shared" si="2"/>
        <v>2143</v>
      </c>
      <c r="O13" s="8">
        <f t="shared" si="2"/>
        <v>1368</v>
      </c>
      <c r="Q13" s="8" t="str">
        <f t="shared" si="3"/>
        <v>ĐC Bia LHB 30.07</v>
      </c>
      <c r="Z13" s="13">
        <v>1048</v>
      </c>
      <c r="AA13" s="13">
        <v>2025</v>
      </c>
      <c r="AB13" s="8">
        <f t="shared" si="6"/>
        <v>1368</v>
      </c>
    </row>
    <row r="14" spans="1:28" s="11" customFormat="1" ht="16.5" x14ac:dyDescent="0.25">
      <c r="A14" s="6" t="s">
        <v>83</v>
      </c>
      <c r="B14" s="7" t="str">
        <f t="shared" si="4"/>
        <v>30.07.2026</v>
      </c>
      <c r="C14" s="8" t="str">
        <f t="shared" si="0"/>
        <v>A07</v>
      </c>
      <c r="D14" s="8" t="str">
        <f t="shared" si="0"/>
        <v>R10</v>
      </c>
      <c r="E14" s="8" t="str">
        <f t="shared" si="1"/>
        <v>ĐC Bia LHB 30.07</v>
      </c>
      <c r="F14" s="8" t="str">
        <f t="shared" si="5"/>
        <v>Z55</v>
      </c>
      <c r="J14" s="16">
        <v>10168108</v>
      </c>
      <c r="K14" s="10">
        <v>82.4</v>
      </c>
      <c r="M14" s="11">
        <f t="shared" si="2"/>
        <v>1263</v>
      </c>
      <c r="N14" s="11">
        <f t="shared" si="2"/>
        <v>2143</v>
      </c>
      <c r="O14" s="8">
        <f t="shared" si="2"/>
        <v>1368</v>
      </c>
      <c r="Q14" s="8" t="str">
        <f t="shared" si="3"/>
        <v>ĐC Bia LHB 30.07</v>
      </c>
      <c r="Z14" s="13">
        <v>1048</v>
      </c>
      <c r="AA14" s="13">
        <v>2025</v>
      </c>
      <c r="AB14" s="8">
        <f t="shared" si="6"/>
        <v>1368</v>
      </c>
    </row>
    <row r="15" spans="1:28" s="11" customFormat="1" ht="16.5" x14ac:dyDescent="0.25">
      <c r="A15" s="14" t="s">
        <v>83</v>
      </c>
      <c r="B15" s="7" t="str">
        <f t="shared" si="4"/>
        <v>30.07.2026</v>
      </c>
      <c r="C15" s="8" t="str">
        <f t="shared" si="0"/>
        <v>A07</v>
      </c>
      <c r="D15" s="8" t="str">
        <f t="shared" si="0"/>
        <v>R10</v>
      </c>
      <c r="E15" s="8" t="str">
        <f t="shared" si="1"/>
        <v>ĐC Bia LHB 30.07</v>
      </c>
      <c r="F15" s="8" t="str">
        <f t="shared" si="5"/>
        <v>Z55</v>
      </c>
      <c r="J15" s="16">
        <v>10191541</v>
      </c>
      <c r="K15" s="15">
        <v>61.8</v>
      </c>
      <c r="M15" s="11">
        <f t="shared" si="2"/>
        <v>1263</v>
      </c>
      <c r="N15" s="11">
        <f t="shared" si="2"/>
        <v>2143</v>
      </c>
      <c r="O15" s="8">
        <f t="shared" si="2"/>
        <v>1368</v>
      </c>
      <c r="Q15" s="8" t="str">
        <f t="shared" si="3"/>
        <v>ĐC Bia LHB 30.07</v>
      </c>
      <c r="Z15" s="13">
        <v>1048</v>
      </c>
      <c r="AA15" s="13">
        <v>2025</v>
      </c>
      <c r="AB15" s="8">
        <f t="shared" si="6"/>
        <v>1368</v>
      </c>
    </row>
    <row r="16" spans="1:28" s="11" customFormat="1" ht="16.5" x14ac:dyDescent="0.25">
      <c r="A16" s="14" t="s">
        <v>84</v>
      </c>
      <c r="B16" s="7" t="str">
        <f t="shared" si="4"/>
        <v>31.07.2026</v>
      </c>
      <c r="C16" s="8" t="str">
        <f t="shared" si="0"/>
        <v>A07</v>
      </c>
      <c r="D16" s="8" t="str">
        <f t="shared" si="0"/>
        <v>R10</v>
      </c>
      <c r="E16" s="8" t="str">
        <f t="shared" si="1"/>
        <v>ĐC Bia LHB 31.07</v>
      </c>
      <c r="F16" s="8" t="str">
        <f t="shared" si="5"/>
        <v>Z55</v>
      </c>
      <c r="J16" s="16">
        <v>10168107</v>
      </c>
      <c r="K16" s="15">
        <v>61.8</v>
      </c>
      <c r="M16" s="11">
        <f t="shared" si="2"/>
        <v>1263</v>
      </c>
      <c r="N16" s="11">
        <f t="shared" si="2"/>
        <v>2143</v>
      </c>
      <c r="O16" s="8">
        <f t="shared" si="2"/>
        <v>1368</v>
      </c>
      <c r="Q16" s="8" t="str">
        <f t="shared" si="3"/>
        <v>ĐC Bia LHB 31.07</v>
      </c>
      <c r="Z16" s="13">
        <v>1048</v>
      </c>
      <c r="AA16" s="13">
        <v>2025</v>
      </c>
      <c r="AB16" s="8">
        <f t="shared" si="6"/>
        <v>1368</v>
      </c>
    </row>
    <row r="17" spans="1:28" s="11" customFormat="1" ht="16.5" x14ac:dyDescent="0.25">
      <c r="A17" s="14" t="s">
        <v>84</v>
      </c>
      <c r="B17" s="7" t="str">
        <f t="shared" si="4"/>
        <v>31.07.2026</v>
      </c>
      <c r="C17" s="8" t="str">
        <f t="shared" si="0"/>
        <v>A07</v>
      </c>
      <c r="D17" s="8" t="str">
        <f t="shared" si="0"/>
        <v>R10</v>
      </c>
      <c r="E17" s="8" t="str">
        <f t="shared" si="1"/>
        <v>ĐC Bia LHB 31.07</v>
      </c>
      <c r="F17" s="8" t="str">
        <f t="shared" si="5"/>
        <v>Z55</v>
      </c>
      <c r="J17" s="16">
        <v>10168108</v>
      </c>
      <c r="K17" s="15">
        <v>103</v>
      </c>
      <c r="M17" s="11">
        <f t="shared" si="2"/>
        <v>1263</v>
      </c>
      <c r="N17" s="11">
        <f t="shared" si="2"/>
        <v>2143</v>
      </c>
      <c r="O17" s="8">
        <f t="shared" si="2"/>
        <v>1368</v>
      </c>
      <c r="Q17" s="8" t="str">
        <f t="shared" si="3"/>
        <v>ĐC Bia LHB 31.07</v>
      </c>
      <c r="Z17" s="13">
        <v>1048</v>
      </c>
      <c r="AA17" s="13">
        <v>2025</v>
      </c>
      <c r="AB17" s="8">
        <f t="shared" si="6"/>
        <v>1368</v>
      </c>
    </row>
    <row r="18" spans="1:28" s="11" customFormat="1" ht="16.5" x14ac:dyDescent="0.25">
      <c r="A18" s="14" t="s">
        <v>84</v>
      </c>
      <c r="B18" s="7" t="str">
        <f t="shared" si="4"/>
        <v>31.07.2026</v>
      </c>
      <c r="C18" s="8" t="str">
        <f t="shared" si="0"/>
        <v>A07</v>
      </c>
      <c r="D18" s="8" t="str">
        <f t="shared" si="0"/>
        <v>R10</v>
      </c>
      <c r="E18" s="8" t="str">
        <f t="shared" si="1"/>
        <v>ĐC Bia LHB 31.07</v>
      </c>
      <c r="F18" s="8" t="str">
        <f t="shared" si="5"/>
        <v>Z55</v>
      </c>
      <c r="J18" s="16">
        <v>10191541</v>
      </c>
      <c r="K18" s="15">
        <v>144.19999999999999</v>
      </c>
      <c r="M18" s="11">
        <f t="shared" si="2"/>
        <v>1263</v>
      </c>
      <c r="N18" s="11">
        <f t="shared" si="2"/>
        <v>2143</v>
      </c>
      <c r="O18" s="8">
        <f t="shared" si="2"/>
        <v>1368</v>
      </c>
      <c r="Q18" s="8" t="str">
        <f t="shared" si="3"/>
        <v>ĐC Bia LHB 31.07</v>
      </c>
      <c r="Z18" s="13">
        <v>1048</v>
      </c>
      <c r="AA18" s="13">
        <v>2025</v>
      </c>
      <c r="AB18" s="8">
        <f t="shared" si="6"/>
        <v>1368</v>
      </c>
    </row>
    <row r="19" spans="1:28" s="11" customFormat="1" ht="16.5" x14ac:dyDescent="0.25">
      <c r="A19" s="14" t="s">
        <v>84</v>
      </c>
      <c r="B19" s="7" t="str">
        <f t="shared" si="4"/>
        <v>31.07.2026</v>
      </c>
      <c r="C19" s="8" t="str">
        <f t="shared" si="0"/>
        <v>A07</v>
      </c>
      <c r="D19" s="8" t="str">
        <f t="shared" si="0"/>
        <v>R10</v>
      </c>
      <c r="E19" s="8" t="str">
        <f t="shared" si="1"/>
        <v>ĐC Bia LHB 31.07</v>
      </c>
      <c r="F19" s="8" t="str">
        <f t="shared" si="5"/>
        <v>Z55</v>
      </c>
      <c r="J19" s="16">
        <v>10191539</v>
      </c>
      <c r="K19" s="15">
        <v>41.2</v>
      </c>
      <c r="M19" s="11">
        <f t="shared" si="2"/>
        <v>1263</v>
      </c>
      <c r="N19" s="11">
        <f t="shared" si="2"/>
        <v>2143</v>
      </c>
      <c r="O19" s="8">
        <f t="shared" si="2"/>
        <v>1368</v>
      </c>
      <c r="Q19" s="8" t="str">
        <f t="shared" si="3"/>
        <v>ĐC Bia LHB 31.07</v>
      </c>
      <c r="Z19" s="13">
        <v>1048</v>
      </c>
      <c r="AA19" s="13">
        <v>2025</v>
      </c>
      <c r="AB19" s="8">
        <f t="shared" si="6"/>
        <v>1368</v>
      </c>
    </row>
    <row r="20" spans="1:28" s="11" customFormat="1" ht="16.5" x14ac:dyDescent="0.25">
      <c r="A20" s="14" t="s">
        <v>78</v>
      </c>
      <c r="B20" s="7" t="str">
        <f t="shared" si="4"/>
        <v>28.07.2026</v>
      </c>
      <c r="C20" s="8" t="str">
        <f t="shared" si="0"/>
        <v>A07</v>
      </c>
      <c r="D20" s="8" t="str">
        <f t="shared" si="0"/>
        <v>R10</v>
      </c>
      <c r="E20" s="8" t="str">
        <f t="shared" si="1"/>
        <v>ĐC Bia LHB 28.07</v>
      </c>
      <c r="F20" s="8" t="str">
        <f t="shared" si="5"/>
        <v>Z55</v>
      </c>
      <c r="J20" s="16">
        <v>10174040</v>
      </c>
      <c r="K20" s="15">
        <v>206</v>
      </c>
      <c r="M20" s="11">
        <f t="shared" si="2"/>
        <v>1263</v>
      </c>
      <c r="N20" s="11">
        <f t="shared" si="2"/>
        <v>2143</v>
      </c>
      <c r="O20" s="8">
        <f t="shared" si="2"/>
        <v>1368</v>
      </c>
      <c r="Q20" s="8" t="str">
        <f t="shared" si="3"/>
        <v>ĐC Bia LHB 28.07</v>
      </c>
      <c r="Z20" s="13">
        <v>1048</v>
      </c>
      <c r="AA20" s="13">
        <v>2025</v>
      </c>
      <c r="AB20" s="8">
        <f t="shared" si="6"/>
        <v>1368</v>
      </c>
    </row>
    <row r="21" spans="1:28" s="11" customFormat="1" ht="16.5" x14ac:dyDescent="0.25">
      <c r="A21" s="14" t="s">
        <v>78</v>
      </c>
      <c r="B21" s="7" t="str">
        <f t="shared" si="4"/>
        <v>28.07.2026</v>
      </c>
      <c r="C21" s="8" t="str">
        <f t="shared" si="0"/>
        <v>A07</v>
      </c>
      <c r="D21" s="8" t="str">
        <f t="shared" si="0"/>
        <v>R10</v>
      </c>
      <c r="E21" s="8" t="str">
        <f t="shared" si="1"/>
        <v>ĐC Bia LHB 28.07</v>
      </c>
      <c r="F21" s="8" t="str">
        <f t="shared" si="5"/>
        <v>Z55</v>
      </c>
      <c r="J21" s="16">
        <v>10168108</v>
      </c>
      <c r="K21" s="15">
        <v>61.8</v>
      </c>
      <c r="M21" s="11">
        <f t="shared" si="2"/>
        <v>1263</v>
      </c>
      <c r="N21" s="11">
        <f t="shared" si="2"/>
        <v>2143</v>
      </c>
      <c r="O21" s="8">
        <f t="shared" si="2"/>
        <v>1368</v>
      </c>
      <c r="Q21" s="8" t="str">
        <f t="shared" si="3"/>
        <v>ĐC Bia LHB 28.07</v>
      </c>
      <c r="Z21" s="13">
        <v>1048</v>
      </c>
      <c r="AA21" s="13">
        <v>2025</v>
      </c>
      <c r="AB21" s="8">
        <f t="shared" si="6"/>
        <v>1368</v>
      </c>
    </row>
    <row r="22" spans="1:28" s="11" customFormat="1" ht="16.5" x14ac:dyDescent="0.25">
      <c r="A22" s="14" t="s">
        <v>78</v>
      </c>
      <c r="B22" s="7" t="str">
        <f t="shared" si="4"/>
        <v>28.07.2026</v>
      </c>
      <c r="C22" s="8" t="str">
        <f t="shared" si="0"/>
        <v>A07</v>
      </c>
      <c r="D22" s="8" t="str">
        <f t="shared" si="0"/>
        <v>R10</v>
      </c>
      <c r="E22" s="8" t="str">
        <f t="shared" si="1"/>
        <v>ĐC Bia LHB 28.07</v>
      </c>
      <c r="F22" s="8" t="str">
        <f t="shared" si="5"/>
        <v>Z55</v>
      </c>
      <c r="J22" s="16">
        <v>10191539</v>
      </c>
      <c r="K22" s="15">
        <v>61.8</v>
      </c>
      <c r="M22" s="11">
        <f t="shared" si="2"/>
        <v>1263</v>
      </c>
      <c r="N22" s="11">
        <f t="shared" si="2"/>
        <v>2143</v>
      </c>
      <c r="O22" s="8">
        <f t="shared" si="2"/>
        <v>1368</v>
      </c>
      <c r="Q22" s="8" t="str">
        <f t="shared" si="3"/>
        <v>ĐC Bia LHB 28.07</v>
      </c>
      <c r="Z22" s="13">
        <v>1048</v>
      </c>
      <c r="AA22" s="13">
        <v>2025</v>
      </c>
      <c r="AB22" s="8">
        <f t="shared" si="6"/>
        <v>1368</v>
      </c>
    </row>
    <row r="23" spans="1:28" s="11" customFormat="1" ht="16.5" x14ac:dyDescent="0.25">
      <c r="A23" s="14" t="s">
        <v>82</v>
      </c>
      <c r="B23" s="7" t="str">
        <f t="shared" si="4"/>
        <v>29.07.2026</v>
      </c>
      <c r="C23" s="8" t="str">
        <f t="shared" ref="C23:D38" si="7">+C22</f>
        <v>A07</v>
      </c>
      <c r="D23" s="8" t="str">
        <f t="shared" si="7"/>
        <v>R10</v>
      </c>
      <c r="E23" s="8" t="str">
        <f t="shared" si="1"/>
        <v>ĐC Bia LHB 29.07</v>
      </c>
      <c r="F23" s="8" t="str">
        <f t="shared" si="5"/>
        <v>Z55</v>
      </c>
      <c r="J23" s="16">
        <v>10191541</v>
      </c>
      <c r="K23" s="15">
        <v>247.2</v>
      </c>
      <c r="M23" s="11">
        <f t="shared" ref="M23:O38" si="8">+M22</f>
        <v>1263</v>
      </c>
      <c r="N23" s="11">
        <f t="shared" si="8"/>
        <v>2143</v>
      </c>
      <c r="O23" s="8">
        <f t="shared" si="8"/>
        <v>1368</v>
      </c>
      <c r="Q23" s="8" t="str">
        <f t="shared" si="3"/>
        <v>ĐC Bia LHB 29.07</v>
      </c>
      <c r="Z23" s="13">
        <v>1048</v>
      </c>
      <c r="AA23" s="13">
        <v>2025</v>
      </c>
      <c r="AB23" s="8">
        <f t="shared" si="6"/>
        <v>1368</v>
      </c>
    </row>
    <row r="24" spans="1:28" s="11" customFormat="1" ht="16.5" x14ac:dyDescent="0.25">
      <c r="A24" s="14" t="s">
        <v>83</v>
      </c>
      <c r="B24" s="7" t="str">
        <f t="shared" si="4"/>
        <v>30.07.2026</v>
      </c>
      <c r="C24" s="8" t="str">
        <f t="shared" si="7"/>
        <v>A07</v>
      </c>
      <c r="D24" s="8" t="str">
        <f t="shared" si="7"/>
        <v>R10</v>
      </c>
      <c r="E24" s="8" t="str">
        <f t="shared" si="1"/>
        <v>ĐC Bia LHB 30.07</v>
      </c>
      <c r="F24" s="8" t="str">
        <f t="shared" si="5"/>
        <v>Z55</v>
      </c>
      <c r="J24" s="16">
        <v>10168108</v>
      </c>
      <c r="K24" s="15">
        <v>103</v>
      </c>
      <c r="M24" s="11">
        <f t="shared" si="8"/>
        <v>1263</v>
      </c>
      <c r="N24" s="11">
        <f t="shared" si="8"/>
        <v>2143</v>
      </c>
      <c r="O24" s="8">
        <f t="shared" si="8"/>
        <v>1368</v>
      </c>
      <c r="Q24" s="8" t="str">
        <f t="shared" si="3"/>
        <v>ĐC Bia LHB 30.07</v>
      </c>
      <c r="Z24" s="13">
        <v>1048</v>
      </c>
      <c r="AA24" s="13">
        <v>2025</v>
      </c>
      <c r="AB24" s="8">
        <f t="shared" si="6"/>
        <v>1368</v>
      </c>
    </row>
    <row r="25" spans="1:28" s="11" customFormat="1" ht="16.5" x14ac:dyDescent="0.25">
      <c r="A25" s="14" t="s">
        <v>83</v>
      </c>
      <c r="B25" s="7" t="str">
        <f t="shared" si="4"/>
        <v>30.07.2026</v>
      </c>
      <c r="C25" s="8" t="str">
        <f t="shared" si="7"/>
        <v>A07</v>
      </c>
      <c r="D25" s="8" t="str">
        <f t="shared" si="7"/>
        <v>R10</v>
      </c>
      <c r="E25" s="8" t="str">
        <f t="shared" si="1"/>
        <v>ĐC Bia LHB 30.07</v>
      </c>
      <c r="F25" s="8" t="str">
        <f t="shared" si="5"/>
        <v>Z55</v>
      </c>
      <c r="J25" s="16">
        <v>10191541</v>
      </c>
      <c r="K25" s="15">
        <v>226.6</v>
      </c>
      <c r="M25" s="11">
        <f t="shared" si="8"/>
        <v>1263</v>
      </c>
      <c r="N25" s="11">
        <f t="shared" si="8"/>
        <v>2143</v>
      </c>
      <c r="O25" s="8">
        <f t="shared" si="8"/>
        <v>1368</v>
      </c>
      <c r="Q25" s="8" t="str">
        <f t="shared" si="3"/>
        <v>ĐC Bia LHB 30.07</v>
      </c>
      <c r="Z25" s="13">
        <v>1048</v>
      </c>
      <c r="AA25" s="13">
        <v>2025</v>
      </c>
      <c r="AB25" s="8">
        <f t="shared" si="6"/>
        <v>1368</v>
      </c>
    </row>
    <row r="26" spans="1:28" s="11" customFormat="1" ht="16.5" x14ac:dyDescent="0.25">
      <c r="A26" s="6" t="s">
        <v>84</v>
      </c>
      <c r="B26" s="7" t="str">
        <f t="shared" si="4"/>
        <v>31.07.2026</v>
      </c>
      <c r="C26" s="8" t="str">
        <f t="shared" si="7"/>
        <v>A07</v>
      </c>
      <c r="D26" s="8" t="str">
        <f t="shared" si="7"/>
        <v>R10</v>
      </c>
      <c r="E26" s="8" t="str">
        <f t="shared" si="1"/>
        <v>ĐC Bia LHB 31.07</v>
      </c>
      <c r="F26" s="8" t="str">
        <f t="shared" si="5"/>
        <v>Z55</v>
      </c>
      <c r="J26" s="17">
        <v>10168107</v>
      </c>
      <c r="K26" s="10">
        <v>103</v>
      </c>
      <c r="M26" s="11">
        <f t="shared" si="8"/>
        <v>1263</v>
      </c>
      <c r="N26" s="11">
        <f t="shared" si="8"/>
        <v>2143</v>
      </c>
      <c r="O26" s="8">
        <f t="shared" si="8"/>
        <v>1368</v>
      </c>
      <c r="Q26" s="8" t="str">
        <f t="shared" si="3"/>
        <v>ĐC Bia LHB 31.07</v>
      </c>
      <c r="Z26" s="13">
        <v>1048</v>
      </c>
      <c r="AA26" s="13">
        <v>2025</v>
      </c>
      <c r="AB26" s="8">
        <f t="shared" si="6"/>
        <v>1368</v>
      </c>
    </row>
    <row r="27" spans="1:28" s="11" customFormat="1" ht="16.5" x14ac:dyDescent="0.25">
      <c r="A27" s="14" t="s">
        <v>84</v>
      </c>
      <c r="B27" s="7" t="str">
        <f t="shared" si="4"/>
        <v>31.07.2026</v>
      </c>
      <c r="C27" s="8" t="str">
        <f t="shared" si="7"/>
        <v>A07</v>
      </c>
      <c r="D27" s="8" t="str">
        <f t="shared" si="7"/>
        <v>R10</v>
      </c>
      <c r="E27" s="8" t="str">
        <f t="shared" si="1"/>
        <v>ĐC Bia LHB 31.07</v>
      </c>
      <c r="F27" s="8" t="str">
        <f t="shared" si="5"/>
        <v>Z55</v>
      </c>
      <c r="J27" s="16">
        <v>10168108</v>
      </c>
      <c r="K27" s="15">
        <v>103</v>
      </c>
      <c r="M27" s="11">
        <f t="shared" si="8"/>
        <v>1263</v>
      </c>
      <c r="N27" s="11">
        <f t="shared" si="8"/>
        <v>2143</v>
      </c>
      <c r="O27" s="8">
        <f t="shared" si="8"/>
        <v>1368</v>
      </c>
      <c r="Q27" s="8" t="str">
        <f t="shared" si="3"/>
        <v>ĐC Bia LHB 31.07</v>
      </c>
      <c r="Z27" s="13">
        <v>1048</v>
      </c>
      <c r="AA27" s="13">
        <v>2025</v>
      </c>
      <c r="AB27" s="8">
        <f t="shared" si="6"/>
        <v>1368</v>
      </c>
    </row>
    <row r="28" spans="1:28" s="11" customFormat="1" ht="16.5" x14ac:dyDescent="0.25">
      <c r="A28" s="14" t="s">
        <v>84</v>
      </c>
      <c r="B28" s="7" t="str">
        <f t="shared" si="4"/>
        <v>31.07.2026</v>
      </c>
      <c r="C28" s="8" t="str">
        <f t="shared" si="7"/>
        <v>A07</v>
      </c>
      <c r="D28" s="8" t="str">
        <f t="shared" si="7"/>
        <v>R10</v>
      </c>
      <c r="E28" s="8" t="str">
        <f t="shared" si="1"/>
        <v>ĐC Bia LHB 31.07</v>
      </c>
      <c r="F28" s="8" t="str">
        <f t="shared" si="5"/>
        <v>Z55</v>
      </c>
      <c r="J28" s="16">
        <v>10191541</v>
      </c>
      <c r="K28" s="15">
        <v>41.2</v>
      </c>
      <c r="M28" s="11">
        <f t="shared" si="8"/>
        <v>1263</v>
      </c>
      <c r="N28" s="11">
        <f t="shared" si="8"/>
        <v>2143</v>
      </c>
      <c r="O28" s="8">
        <f t="shared" si="8"/>
        <v>1368</v>
      </c>
      <c r="Q28" s="8" t="str">
        <f t="shared" si="3"/>
        <v>ĐC Bia LHB 31.07</v>
      </c>
      <c r="Z28" s="13">
        <v>1048</v>
      </c>
      <c r="AA28" s="13">
        <v>2025</v>
      </c>
      <c r="AB28" s="8">
        <f t="shared" si="6"/>
        <v>1368</v>
      </c>
    </row>
    <row r="29" spans="1:28" s="11" customFormat="1" ht="16.5" x14ac:dyDescent="0.25">
      <c r="A29" s="18" t="s">
        <v>78</v>
      </c>
      <c r="B29" s="7" t="str">
        <f t="shared" si="4"/>
        <v>28.07.2026</v>
      </c>
      <c r="C29" s="8" t="str">
        <f t="shared" si="7"/>
        <v>A07</v>
      </c>
      <c r="D29" s="8" t="str">
        <f t="shared" si="7"/>
        <v>R10</v>
      </c>
      <c r="E29" s="8" t="str">
        <f>"ĐC Bia 4SS "&amp;LEFT(A29,5)</f>
        <v>ĐC Bia 4SS 28.07</v>
      </c>
      <c r="F29" s="8" t="str">
        <f t="shared" si="5"/>
        <v>Z55</v>
      </c>
      <c r="J29" s="19">
        <v>10168107</v>
      </c>
      <c r="K29" s="20">
        <v>61.8</v>
      </c>
      <c r="M29" s="11">
        <f t="shared" si="8"/>
        <v>1263</v>
      </c>
      <c r="N29" s="11">
        <f t="shared" si="8"/>
        <v>2143</v>
      </c>
      <c r="O29" s="8">
        <f t="shared" si="8"/>
        <v>1368</v>
      </c>
      <c r="Q29" s="8" t="str">
        <f t="shared" si="3"/>
        <v>ĐC Bia 4SS 28.07</v>
      </c>
      <c r="Z29" s="13">
        <v>2228</v>
      </c>
      <c r="AA29" s="13">
        <v>2001</v>
      </c>
      <c r="AB29" s="8">
        <f t="shared" si="6"/>
        <v>1368</v>
      </c>
    </row>
    <row r="30" spans="1:28" ht="16.5" x14ac:dyDescent="0.25">
      <c r="A30" s="21" t="s">
        <v>78</v>
      </c>
      <c r="B30" s="7" t="str">
        <f t="shared" si="4"/>
        <v>28.07.2026</v>
      </c>
      <c r="C30" s="8" t="str">
        <f t="shared" si="7"/>
        <v>A07</v>
      </c>
      <c r="D30" s="8" t="str">
        <f t="shared" si="7"/>
        <v>R10</v>
      </c>
      <c r="E30" s="8" t="str">
        <f t="shared" ref="E30:E37" si="9">"ĐC Bia 4SS "&amp;LEFT(A30,5)</f>
        <v>ĐC Bia 4SS 28.07</v>
      </c>
      <c r="F30" s="8" t="str">
        <f t="shared" si="5"/>
        <v>Z55</v>
      </c>
      <c r="J30" s="22">
        <v>10174040</v>
      </c>
      <c r="K30" s="23">
        <v>61.8</v>
      </c>
      <c r="M30" s="11">
        <f t="shared" si="8"/>
        <v>1263</v>
      </c>
      <c r="N30" s="11">
        <f t="shared" si="8"/>
        <v>2143</v>
      </c>
      <c r="O30" s="8">
        <f t="shared" si="8"/>
        <v>1368</v>
      </c>
      <c r="P30" s="11"/>
      <c r="Q30" s="8" t="str">
        <f t="shared" si="3"/>
        <v>ĐC Bia 4SS 28.07</v>
      </c>
      <c r="Z30" s="13">
        <v>2228</v>
      </c>
      <c r="AA30" s="13">
        <v>2001</v>
      </c>
      <c r="AB30" s="8">
        <f t="shared" si="6"/>
        <v>1368</v>
      </c>
    </row>
    <row r="31" spans="1:28" ht="16.5" x14ac:dyDescent="0.25">
      <c r="A31" s="18" t="s">
        <v>78</v>
      </c>
      <c r="B31" s="7" t="str">
        <f t="shared" si="4"/>
        <v>28.07.2026</v>
      </c>
      <c r="C31" s="8" t="str">
        <f t="shared" si="7"/>
        <v>A07</v>
      </c>
      <c r="D31" s="8" t="str">
        <f t="shared" si="7"/>
        <v>R10</v>
      </c>
      <c r="E31" s="8" t="str">
        <f t="shared" si="9"/>
        <v>ĐC Bia 4SS 28.07</v>
      </c>
      <c r="F31" s="8" t="str">
        <f t="shared" si="5"/>
        <v>Z55</v>
      </c>
      <c r="J31" s="24">
        <v>10168108</v>
      </c>
      <c r="K31" s="25">
        <v>103</v>
      </c>
      <c r="M31" s="11">
        <f t="shared" si="8"/>
        <v>1263</v>
      </c>
      <c r="N31" s="11">
        <f t="shared" si="8"/>
        <v>2143</v>
      </c>
      <c r="O31" s="8">
        <f t="shared" si="8"/>
        <v>1368</v>
      </c>
      <c r="P31" s="11"/>
      <c r="Q31" s="8" t="str">
        <f t="shared" si="3"/>
        <v>ĐC Bia 4SS 28.07</v>
      </c>
      <c r="Z31" s="13">
        <v>2228</v>
      </c>
      <c r="AA31" s="13">
        <v>2001</v>
      </c>
      <c r="AB31" s="8">
        <f t="shared" si="6"/>
        <v>1368</v>
      </c>
    </row>
    <row r="32" spans="1:28" ht="16.5" x14ac:dyDescent="0.25">
      <c r="A32" s="21" t="s">
        <v>78</v>
      </c>
      <c r="B32" s="7" t="str">
        <f t="shared" si="4"/>
        <v>28.07.2026</v>
      </c>
      <c r="C32" s="8" t="str">
        <f t="shared" si="7"/>
        <v>A07</v>
      </c>
      <c r="D32" s="8" t="str">
        <f t="shared" si="7"/>
        <v>R10</v>
      </c>
      <c r="E32" s="8" t="str">
        <f t="shared" si="9"/>
        <v>ĐC Bia 4SS 28.07</v>
      </c>
      <c r="F32" s="8" t="str">
        <f t="shared" si="5"/>
        <v>Z55</v>
      </c>
      <c r="J32" s="26">
        <v>10191541</v>
      </c>
      <c r="K32" s="27">
        <v>61.8</v>
      </c>
      <c r="M32" s="11">
        <f t="shared" si="8"/>
        <v>1263</v>
      </c>
      <c r="N32" s="11">
        <f t="shared" si="8"/>
        <v>2143</v>
      </c>
      <c r="O32" s="8">
        <f t="shared" si="8"/>
        <v>1368</v>
      </c>
      <c r="P32" s="11"/>
      <c r="Q32" s="8" t="str">
        <f t="shared" si="3"/>
        <v>ĐC Bia 4SS 28.07</v>
      </c>
      <c r="Z32" s="13">
        <v>2228</v>
      </c>
      <c r="AA32" s="13">
        <v>2001</v>
      </c>
      <c r="AB32" s="8">
        <f t="shared" si="6"/>
        <v>1368</v>
      </c>
    </row>
    <row r="33" spans="1:28" ht="16.5" x14ac:dyDescent="0.25">
      <c r="A33" s="21" t="s">
        <v>78</v>
      </c>
      <c r="B33" s="7" t="str">
        <f t="shared" si="4"/>
        <v>28.07.2026</v>
      </c>
      <c r="C33" s="8" t="str">
        <f t="shared" si="7"/>
        <v>A07</v>
      </c>
      <c r="D33" s="8" t="str">
        <f t="shared" si="7"/>
        <v>R10</v>
      </c>
      <c r="E33" s="8" t="str">
        <f t="shared" si="9"/>
        <v>ĐC Bia 4SS 28.07</v>
      </c>
      <c r="F33" s="8" t="str">
        <f t="shared" si="5"/>
        <v>Z55</v>
      </c>
      <c r="J33" s="22">
        <v>10168110</v>
      </c>
      <c r="K33" s="23">
        <v>120</v>
      </c>
      <c r="M33" s="11">
        <f t="shared" si="8"/>
        <v>1263</v>
      </c>
      <c r="N33" s="11">
        <f t="shared" si="8"/>
        <v>2143</v>
      </c>
      <c r="O33" s="8">
        <f t="shared" si="8"/>
        <v>1368</v>
      </c>
      <c r="P33" s="11"/>
      <c r="Q33" s="8" t="str">
        <f t="shared" si="3"/>
        <v>ĐC Bia 4SS 28.07</v>
      </c>
      <c r="Z33" s="13">
        <v>2228</v>
      </c>
      <c r="AA33" s="13">
        <v>2001</v>
      </c>
      <c r="AB33" s="8">
        <f t="shared" si="6"/>
        <v>1368</v>
      </c>
    </row>
    <row r="34" spans="1:28" ht="16.5" x14ac:dyDescent="0.25">
      <c r="A34" s="21" t="s">
        <v>78</v>
      </c>
      <c r="B34" s="7" t="str">
        <f t="shared" si="4"/>
        <v>28.07.2026</v>
      </c>
      <c r="C34" s="8" t="str">
        <f t="shared" si="7"/>
        <v>A07</v>
      </c>
      <c r="D34" s="8" t="str">
        <f t="shared" si="7"/>
        <v>R10</v>
      </c>
      <c r="E34" s="8" t="str">
        <f t="shared" si="9"/>
        <v>ĐC Bia 4SS 28.07</v>
      </c>
      <c r="F34" s="8" t="str">
        <f t="shared" si="5"/>
        <v>Z55</v>
      </c>
      <c r="J34" s="22">
        <v>10174039</v>
      </c>
      <c r="K34" s="23">
        <v>120</v>
      </c>
      <c r="M34" s="11">
        <f t="shared" si="8"/>
        <v>1263</v>
      </c>
      <c r="N34" s="11">
        <f t="shared" si="8"/>
        <v>2143</v>
      </c>
      <c r="O34" s="8">
        <f t="shared" si="8"/>
        <v>1368</v>
      </c>
      <c r="P34" s="11"/>
      <c r="Q34" s="8" t="str">
        <f t="shared" si="3"/>
        <v>ĐC Bia 4SS 28.07</v>
      </c>
      <c r="Z34" s="13">
        <v>2228</v>
      </c>
      <c r="AA34" s="13">
        <v>2001</v>
      </c>
      <c r="AB34" s="8">
        <f t="shared" si="6"/>
        <v>1368</v>
      </c>
    </row>
    <row r="35" spans="1:28" ht="16.5" x14ac:dyDescent="0.25">
      <c r="A35" s="21" t="s">
        <v>78</v>
      </c>
      <c r="B35" s="7" t="str">
        <f t="shared" si="4"/>
        <v>28.07.2026</v>
      </c>
      <c r="C35" s="8" t="str">
        <f t="shared" si="7"/>
        <v>A07</v>
      </c>
      <c r="D35" s="8" t="str">
        <f t="shared" si="7"/>
        <v>R10</v>
      </c>
      <c r="E35" s="8" t="str">
        <f t="shared" si="9"/>
        <v>ĐC Bia 4SS 28.07</v>
      </c>
      <c r="F35" s="8" t="str">
        <f t="shared" si="5"/>
        <v>Z55</v>
      </c>
      <c r="J35" s="26">
        <v>10168111</v>
      </c>
      <c r="K35" s="27">
        <v>120</v>
      </c>
      <c r="M35" s="11">
        <f t="shared" si="8"/>
        <v>1263</v>
      </c>
      <c r="N35" s="11">
        <f t="shared" si="8"/>
        <v>2143</v>
      </c>
      <c r="O35" s="8">
        <f t="shared" si="8"/>
        <v>1368</v>
      </c>
      <c r="P35" s="11"/>
      <c r="Q35" s="8" t="str">
        <f t="shared" si="3"/>
        <v>ĐC Bia 4SS 28.07</v>
      </c>
      <c r="Z35" s="13">
        <v>2228</v>
      </c>
      <c r="AA35" s="13">
        <v>2001</v>
      </c>
      <c r="AB35" s="8">
        <f t="shared" si="6"/>
        <v>1368</v>
      </c>
    </row>
    <row r="36" spans="1:28" ht="16.5" x14ac:dyDescent="0.25">
      <c r="A36" s="21" t="s">
        <v>84</v>
      </c>
      <c r="B36" s="7" t="str">
        <f t="shared" si="4"/>
        <v>31.07.2026</v>
      </c>
      <c r="C36" s="8" t="str">
        <f t="shared" si="7"/>
        <v>A07</v>
      </c>
      <c r="D36" s="8" t="str">
        <f t="shared" si="7"/>
        <v>R10</v>
      </c>
      <c r="E36" s="8" t="str">
        <f t="shared" si="9"/>
        <v>ĐC Bia 4SS 31.07</v>
      </c>
      <c r="F36" s="8" t="str">
        <f t="shared" si="5"/>
        <v>Z55</v>
      </c>
      <c r="J36" s="26">
        <v>10174040</v>
      </c>
      <c r="K36" s="27">
        <v>164.8</v>
      </c>
      <c r="M36" s="11">
        <f t="shared" si="8"/>
        <v>1263</v>
      </c>
      <c r="N36" s="11">
        <f t="shared" si="8"/>
        <v>2143</v>
      </c>
      <c r="O36" s="8">
        <f t="shared" si="8"/>
        <v>1368</v>
      </c>
      <c r="P36" s="11"/>
      <c r="Q36" s="8" t="str">
        <f t="shared" si="3"/>
        <v>ĐC Bia 4SS 31.07</v>
      </c>
      <c r="Z36" s="13">
        <v>2228</v>
      </c>
      <c r="AA36" s="13">
        <v>2001</v>
      </c>
      <c r="AB36" s="8">
        <f t="shared" si="6"/>
        <v>1368</v>
      </c>
    </row>
    <row r="37" spans="1:28" ht="16.5" x14ac:dyDescent="0.25">
      <c r="A37" s="21" t="s">
        <v>84</v>
      </c>
      <c r="B37" s="7" t="str">
        <f t="shared" si="4"/>
        <v>31.07.2026</v>
      </c>
      <c r="C37" s="8" t="str">
        <f t="shared" si="7"/>
        <v>A07</v>
      </c>
      <c r="D37" s="8" t="str">
        <f t="shared" si="7"/>
        <v>R10</v>
      </c>
      <c r="E37" s="8" t="str">
        <f t="shared" si="9"/>
        <v>ĐC Bia 4SS 31.07</v>
      </c>
      <c r="F37" s="8" t="str">
        <f t="shared" si="5"/>
        <v>Z55</v>
      </c>
      <c r="J37" s="26">
        <v>10168108</v>
      </c>
      <c r="K37" s="27">
        <v>144.19999999999999</v>
      </c>
      <c r="M37" s="11">
        <f t="shared" si="8"/>
        <v>1263</v>
      </c>
      <c r="N37" s="11">
        <f t="shared" si="8"/>
        <v>2143</v>
      </c>
      <c r="O37" s="8">
        <f t="shared" si="8"/>
        <v>1368</v>
      </c>
      <c r="P37" s="11"/>
      <c r="Q37" s="8" t="str">
        <f t="shared" si="3"/>
        <v>ĐC Bia 4SS 31.07</v>
      </c>
      <c r="Z37" s="13">
        <v>2228</v>
      </c>
      <c r="AA37" s="13">
        <v>2001</v>
      </c>
      <c r="AB37" s="8">
        <f t="shared" si="6"/>
        <v>1368</v>
      </c>
    </row>
    <row r="38" spans="1:28" s="31" customFormat="1" ht="16.5" x14ac:dyDescent="0.25">
      <c r="A38" s="28" t="s">
        <v>82</v>
      </c>
      <c r="B38" s="29" t="str">
        <f t="shared" si="4"/>
        <v>29.07.2026</v>
      </c>
      <c r="C38" s="30" t="str">
        <f t="shared" si="7"/>
        <v>A07</v>
      </c>
      <c r="D38" s="30" t="str">
        <f t="shared" si="7"/>
        <v>R10</v>
      </c>
      <c r="E38" s="30" t="str">
        <f>"ĐC Bia KAVKAZ "&amp;LEFT(A38,5)</f>
        <v>ĐC Bia KAVKAZ 29.07</v>
      </c>
      <c r="F38" s="30" t="str">
        <f t="shared" si="5"/>
        <v>Z55</v>
      </c>
      <c r="J38" s="32">
        <v>10168107</v>
      </c>
      <c r="K38" s="33">
        <v>164.8</v>
      </c>
      <c r="M38" s="34">
        <f t="shared" si="8"/>
        <v>1263</v>
      </c>
      <c r="N38" s="34">
        <f t="shared" si="8"/>
        <v>2143</v>
      </c>
      <c r="O38" s="30">
        <f t="shared" si="8"/>
        <v>1368</v>
      </c>
      <c r="P38" s="34"/>
      <c r="Q38" s="30" t="str">
        <f t="shared" si="3"/>
        <v>ĐC Bia KAVKAZ 29.07</v>
      </c>
      <c r="Z38" s="35">
        <v>1040</v>
      </c>
      <c r="AA38" s="35">
        <v>2017</v>
      </c>
      <c r="AB38" s="30">
        <f t="shared" si="6"/>
        <v>1368</v>
      </c>
    </row>
    <row r="39" spans="1:28" s="31" customFormat="1" ht="16.5" x14ac:dyDescent="0.25">
      <c r="A39" s="28" t="s">
        <v>82</v>
      </c>
      <c r="B39" s="29" t="str">
        <f t="shared" si="4"/>
        <v>29.07.2026</v>
      </c>
      <c r="C39" s="30" t="str">
        <f t="shared" ref="C39:D54" si="10">+C38</f>
        <v>A07</v>
      </c>
      <c r="D39" s="30" t="str">
        <f t="shared" si="10"/>
        <v>R10</v>
      </c>
      <c r="E39" s="30" t="str">
        <f t="shared" ref="E39:E41" si="11">"ĐC Bia KAVKAZ "&amp;LEFT(A39,5)</f>
        <v>ĐC Bia KAVKAZ 29.07</v>
      </c>
      <c r="F39" s="30" t="str">
        <f t="shared" si="5"/>
        <v>Z55</v>
      </c>
      <c r="J39" s="32">
        <v>10174040</v>
      </c>
      <c r="K39" s="33">
        <v>164.8</v>
      </c>
      <c r="M39" s="34">
        <f t="shared" ref="M39:O54" si="12">+M38</f>
        <v>1263</v>
      </c>
      <c r="N39" s="34">
        <f t="shared" si="12"/>
        <v>2143</v>
      </c>
      <c r="O39" s="30">
        <f t="shared" si="12"/>
        <v>1368</v>
      </c>
      <c r="P39" s="34"/>
      <c r="Q39" s="30" t="str">
        <f t="shared" si="3"/>
        <v>ĐC Bia KAVKAZ 29.07</v>
      </c>
      <c r="Z39" s="35">
        <v>1040</v>
      </c>
      <c r="AA39" s="35">
        <v>2017</v>
      </c>
      <c r="AB39" s="30">
        <f t="shared" si="6"/>
        <v>1368</v>
      </c>
    </row>
    <row r="40" spans="1:28" s="31" customFormat="1" ht="16.5" x14ac:dyDescent="0.25">
      <c r="A40" s="28" t="s">
        <v>84</v>
      </c>
      <c r="B40" s="29" t="str">
        <f t="shared" si="4"/>
        <v>31.07.2026</v>
      </c>
      <c r="C40" s="30" t="str">
        <f t="shared" si="10"/>
        <v>A07</v>
      </c>
      <c r="D40" s="30" t="str">
        <f t="shared" si="10"/>
        <v>R10</v>
      </c>
      <c r="E40" s="30" t="str">
        <f t="shared" si="11"/>
        <v>ĐC Bia KAVKAZ 31.07</v>
      </c>
      <c r="F40" s="30" t="str">
        <f t="shared" si="5"/>
        <v>Z55</v>
      </c>
      <c r="J40" s="32">
        <v>10168107</v>
      </c>
      <c r="K40" s="33">
        <v>164.8</v>
      </c>
      <c r="M40" s="34">
        <f t="shared" si="12"/>
        <v>1263</v>
      </c>
      <c r="N40" s="34">
        <f t="shared" si="12"/>
        <v>2143</v>
      </c>
      <c r="O40" s="30">
        <f t="shared" si="12"/>
        <v>1368</v>
      </c>
      <c r="P40" s="34"/>
      <c r="Q40" s="30" t="str">
        <f t="shared" si="3"/>
        <v>ĐC Bia KAVKAZ 31.07</v>
      </c>
      <c r="Z40" s="35">
        <v>1040</v>
      </c>
      <c r="AA40" s="35">
        <v>2017</v>
      </c>
      <c r="AB40" s="30">
        <f t="shared" si="6"/>
        <v>1368</v>
      </c>
    </row>
    <row r="41" spans="1:28" s="31" customFormat="1" ht="16.5" x14ac:dyDescent="0.25">
      <c r="A41" s="36" t="s">
        <v>84</v>
      </c>
      <c r="B41" s="29" t="str">
        <f t="shared" si="4"/>
        <v>31.07.2026</v>
      </c>
      <c r="C41" s="30" t="str">
        <f t="shared" si="10"/>
        <v>A07</v>
      </c>
      <c r="D41" s="30" t="str">
        <f t="shared" si="10"/>
        <v>R10</v>
      </c>
      <c r="E41" s="30" t="str">
        <f t="shared" si="11"/>
        <v>ĐC Bia KAVKAZ 31.07</v>
      </c>
      <c r="F41" s="30" t="str">
        <f t="shared" si="5"/>
        <v>Z55</v>
      </c>
      <c r="J41" s="31">
        <v>10174040</v>
      </c>
      <c r="K41" s="37">
        <v>144.19999999999999</v>
      </c>
      <c r="M41" s="34">
        <f t="shared" si="12"/>
        <v>1263</v>
      </c>
      <c r="N41" s="34">
        <f t="shared" si="12"/>
        <v>2143</v>
      </c>
      <c r="O41" s="30">
        <f t="shared" si="12"/>
        <v>1368</v>
      </c>
      <c r="P41" s="34"/>
      <c r="Q41" s="30" t="str">
        <f t="shared" si="3"/>
        <v>ĐC Bia KAVKAZ 31.07</v>
      </c>
      <c r="Z41" s="35">
        <v>1040</v>
      </c>
      <c r="AA41" s="35">
        <v>2017</v>
      </c>
      <c r="AB41" s="30">
        <f t="shared" si="6"/>
        <v>1368</v>
      </c>
    </row>
    <row r="42" spans="1:28" s="41" customFormat="1" ht="16.5" x14ac:dyDescent="0.25">
      <c r="A42" s="38" t="s">
        <v>78</v>
      </c>
      <c r="B42" s="39" t="str">
        <f t="shared" si="4"/>
        <v>28.07.2026</v>
      </c>
      <c r="C42" s="40" t="str">
        <f t="shared" si="10"/>
        <v>A07</v>
      </c>
      <c r="D42" s="40" t="str">
        <f t="shared" si="10"/>
        <v>R10</v>
      </c>
      <c r="E42" s="40" t="str">
        <f>"ĐC Bia TAIGA "&amp;LEFT(A42,5)</f>
        <v>ĐC Bia TAIGA 28.07</v>
      </c>
      <c r="F42" s="40" t="str">
        <f t="shared" si="5"/>
        <v>Z55</v>
      </c>
      <c r="J42" s="41">
        <v>10168108</v>
      </c>
      <c r="K42" s="42">
        <v>41.2</v>
      </c>
      <c r="M42" s="43">
        <f t="shared" si="12"/>
        <v>1263</v>
      </c>
      <c r="N42" s="43">
        <f t="shared" si="12"/>
        <v>2143</v>
      </c>
      <c r="O42" s="40">
        <f t="shared" si="12"/>
        <v>1368</v>
      </c>
      <c r="P42" s="43"/>
      <c r="Q42" s="40" t="str">
        <f t="shared" si="3"/>
        <v>ĐC Bia TAIGA 28.07</v>
      </c>
      <c r="Z42" s="44">
        <v>1983</v>
      </c>
      <c r="AA42" s="44">
        <v>2202</v>
      </c>
      <c r="AB42" s="40">
        <f t="shared" si="6"/>
        <v>1368</v>
      </c>
    </row>
    <row r="43" spans="1:28" s="41" customFormat="1" ht="16.5" x14ac:dyDescent="0.25">
      <c r="A43" s="38" t="s">
        <v>78</v>
      </c>
      <c r="B43" s="39" t="str">
        <f t="shared" si="4"/>
        <v>28.07.2026</v>
      </c>
      <c r="C43" s="40" t="str">
        <f t="shared" si="10"/>
        <v>A07</v>
      </c>
      <c r="D43" s="40" t="str">
        <f t="shared" si="10"/>
        <v>R10</v>
      </c>
      <c r="E43" s="40" t="str">
        <f t="shared" ref="E43:E45" si="13">"ĐC Bia TAIGA "&amp;LEFT(A43,5)</f>
        <v>ĐC Bia TAIGA 28.07</v>
      </c>
      <c r="F43" s="40" t="str">
        <f t="shared" si="5"/>
        <v>Z55</v>
      </c>
      <c r="J43" s="41">
        <v>10191541</v>
      </c>
      <c r="K43" s="42">
        <v>61.8</v>
      </c>
      <c r="M43" s="43">
        <f t="shared" si="12"/>
        <v>1263</v>
      </c>
      <c r="N43" s="43">
        <f t="shared" si="12"/>
        <v>2143</v>
      </c>
      <c r="O43" s="40">
        <f t="shared" si="12"/>
        <v>1368</v>
      </c>
      <c r="P43" s="43"/>
      <c r="Q43" s="40" t="str">
        <f t="shared" si="3"/>
        <v>ĐC Bia TAIGA 28.07</v>
      </c>
      <c r="Z43" s="44">
        <v>1983</v>
      </c>
      <c r="AA43" s="44">
        <v>2202</v>
      </c>
      <c r="AB43" s="40">
        <f t="shared" si="6"/>
        <v>1368</v>
      </c>
    </row>
    <row r="44" spans="1:28" s="41" customFormat="1" ht="16.5" x14ac:dyDescent="0.25">
      <c r="A44" s="45" t="s">
        <v>83</v>
      </c>
      <c r="B44" s="39" t="str">
        <f t="shared" si="4"/>
        <v>30.07.2026</v>
      </c>
      <c r="C44" s="40" t="str">
        <f t="shared" si="10"/>
        <v>A07</v>
      </c>
      <c r="D44" s="40" t="str">
        <f t="shared" si="10"/>
        <v>R10</v>
      </c>
      <c r="E44" s="40" t="str">
        <f t="shared" si="13"/>
        <v>ĐC Bia TAIGA 30.07</v>
      </c>
      <c r="F44" s="40" t="str">
        <f t="shared" si="5"/>
        <v>Z55</v>
      </c>
      <c r="J44" s="46">
        <v>10168108</v>
      </c>
      <c r="K44" s="47">
        <v>20.6</v>
      </c>
      <c r="M44" s="43">
        <f t="shared" si="12"/>
        <v>1263</v>
      </c>
      <c r="N44" s="43">
        <f t="shared" si="12"/>
        <v>2143</v>
      </c>
      <c r="O44" s="40">
        <f t="shared" si="12"/>
        <v>1368</v>
      </c>
      <c r="P44" s="43"/>
      <c r="Q44" s="40" t="str">
        <f t="shared" si="3"/>
        <v>ĐC Bia TAIGA 30.07</v>
      </c>
      <c r="Z44" s="44">
        <v>1983</v>
      </c>
      <c r="AA44" s="44">
        <v>2202</v>
      </c>
      <c r="AB44" s="40">
        <f t="shared" si="6"/>
        <v>1368</v>
      </c>
    </row>
    <row r="45" spans="1:28" s="41" customFormat="1" ht="16.5" x14ac:dyDescent="0.25">
      <c r="A45" s="45" t="s">
        <v>83</v>
      </c>
      <c r="B45" s="39" t="str">
        <f t="shared" si="4"/>
        <v>30.07.2026</v>
      </c>
      <c r="C45" s="40" t="str">
        <f t="shared" si="10"/>
        <v>A07</v>
      </c>
      <c r="D45" s="40" t="str">
        <f t="shared" si="10"/>
        <v>R10</v>
      </c>
      <c r="E45" s="40" t="str">
        <f t="shared" si="13"/>
        <v>ĐC Bia TAIGA 30.07</v>
      </c>
      <c r="F45" s="40" t="str">
        <f t="shared" si="5"/>
        <v>Z55</v>
      </c>
      <c r="J45" s="46">
        <v>10191541</v>
      </c>
      <c r="K45" s="47">
        <v>41.2</v>
      </c>
      <c r="M45" s="43">
        <f t="shared" si="12"/>
        <v>1263</v>
      </c>
      <c r="N45" s="43">
        <f t="shared" si="12"/>
        <v>2143</v>
      </c>
      <c r="O45" s="40">
        <f t="shared" si="12"/>
        <v>1368</v>
      </c>
      <c r="P45" s="43"/>
      <c r="Q45" s="40" t="str">
        <f t="shared" si="3"/>
        <v>ĐC Bia TAIGA 30.07</v>
      </c>
      <c r="Z45" s="44">
        <v>1983</v>
      </c>
      <c r="AA45" s="44">
        <v>2202</v>
      </c>
      <c r="AB45" s="40">
        <f t="shared" si="6"/>
        <v>1368</v>
      </c>
    </row>
    <row r="46" spans="1:28" s="51" customFormat="1" ht="16.5" x14ac:dyDescent="0.25">
      <c r="A46" s="48" t="s">
        <v>84</v>
      </c>
      <c r="B46" s="49" t="str">
        <f t="shared" si="4"/>
        <v>31.07.2026</v>
      </c>
      <c r="C46" s="50" t="str">
        <f t="shared" si="10"/>
        <v>A07</v>
      </c>
      <c r="D46" s="50" t="str">
        <f t="shared" si="10"/>
        <v>R10</v>
      </c>
      <c r="E46" s="50" t="str">
        <f>"ĐC Bia HỘI AN "&amp;LEFT(A46,5)</f>
        <v>ĐC Bia HỘI AN 31.07</v>
      </c>
      <c r="F46" s="50" t="str">
        <f t="shared" si="5"/>
        <v>Z55</v>
      </c>
      <c r="J46" s="51">
        <v>10168110</v>
      </c>
      <c r="K46" s="52">
        <v>960</v>
      </c>
      <c r="M46" s="53">
        <f t="shared" si="12"/>
        <v>1263</v>
      </c>
      <c r="N46" s="53">
        <f t="shared" si="12"/>
        <v>2143</v>
      </c>
      <c r="O46" s="50">
        <f t="shared" si="12"/>
        <v>1368</v>
      </c>
      <c r="P46" s="53"/>
      <c r="Q46" s="50" t="str">
        <f t="shared" si="3"/>
        <v>ĐC Bia HỘI AN 31.07</v>
      </c>
      <c r="Z46" s="54">
        <v>1052</v>
      </c>
      <c r="AA46" s="54">
        <v>2049</v>
      </c>
      <c r="AB46" s="50">
        <f t="shared" si="6"/>
        <v>1368</v>
      </c>
    </row>
    <row r="47" spans="1:28" s="51" customFormat="1" ht="16.5" x14ac:dyDescent="0.25">
      <c r="A47" s="48" t="s">
        <v>84</v>
      </c>
      <c r="B47" s="49" t="str">
        <f t="shared" si="4"/>
        <v>31.07.2026</v>
      </c>
      <c r="C47" s="50" t="str">
        <f t="shared" si="10"/>
        <v>A07</v>
      </c>
      <c r="D47" s="50" t="str">
        <f t="shared" si="10"/>
        <v>R10</v>
      </c>
      <c r="E47" s="50" t="str">
        <f t="shared" ref="E47:E48" si="14">"ĐC Bia HỘI AN "&amp;LEFT(A47,5)</f>
        <v>ĐC Bia HỘI AN 31.07</v>
      </c>
      <c r="F47" s="50" t="str">
        <f t="shared" si="5"/>
        <v>Z55</v>
      </c>
      <c r="J47" s="51">
        <v>10174039</v>
      </c>
      <c r="K47" s="52">
        <v>240</v>
      </c>
      <c r="M47" s="53">
        <f t="shared" si="12"/>
        <v>1263</v>
      </c>
      <c r="N47" s="53">
        <f t="shared" si="12"/>
        <v>2143</v>
      </c>
      <c r="O47" s="50">
        <f t="shared" si="12"/>
        <v>1368</v>
      </c>
      <c r="P47" s="53"/>
      <c r="Q47" s="50" t="str">
        <f t="shared" si="3"/>
        <v>ĐC Bia HỘI AN 31.07</v>
      </c>
      <c r="Z47" s="54">
        <v>1052</v>
      </c>
      <c r="AA47" s="54">
        <v>2049</v>
      </c>
      <c r="AB47" s="50">
        <f t="shared" si="6"/>
        <v>1368</v>
      </c>
    </row>
    <row r="48" spans="1:28" s="51" customFormat="1" ht="16.5" x14ac:dyDescent="0.25">
      <c r="A48" s="48" t="s">
        <v>84</v>
      </c>
      <c r="B48" s="49" t="str">
        <f t="shared" si="4"/>
        <v>31.07.2026</v>
      </c>
      <c r="C48" s="50" t="str">
        <f t="shared" si="10"/>
        <v>A07</v>
      </c>
      <c r="D48" s="50" t="str">
        <f t="shared" si="10"/>
        <v>R10</v>
      </c>
      <c r="E48" s="50" t="str">
        <f t="shared" si="14"/>
        <v>ĐC Bia HỘI AN 31.07</v>
      </c>
      <c r="F48" s="50" t="str">
        <f t="shared" si="5"/>
        <v>Z55</v>
      </c>
      <c r="J48" s="51">
        <v>10168111</v>
      </c>
      <c r="K48" s="52">
        <v>240</v>
      </c>
      <c r="M48" s="53">
        <f t="shared" si="12"/>
        <v>1263</v>
      </c>
      <c r="N48" s="53">
        <f t="shared" si="12"/>
        <v>2143</v>
      </c>
      <c r="O48" s="50">
        <f t="shared" si="12"/>
        <v>1368</v>
      </c>
      <c r="P48" s="53"/>
      <c r="Q48" s="50" t="str">
        <f t="shared" si="3"/>
        <v>ĐC Bia HỘI AN 31.07</v>
      </c>
      <c r="Z48" s="54">
        <v>1052</v>
      </c>
      <c r="AA48" s="54">
        <v>2049</v>
      </c>
      <c r="AB48" s="50">
        <f t="shared" si="6"/>
        <v>1368</v>
      </c>
    </row>
    <row r="49" spans="1:28" s="58" customFormat="1" ht="16.5" x14ac:dyDescent="0.25">
      <c r="A49" s="55" t="s">
        <v>78</v>
      </c>
      <c r="B49" s="56" t="str">
        <f t="shared" si="4"/>
        <v>28.07.2026</v>
      </c>
      <c r="C49" s="57" t="str">
        <f t="shared" si="10"/>
        <v>A07</v>
      </c>
      <c r="D49" s="57" t="str">
        <f t="shared" si="10"/>
        <v>R10</v>
      </c>
      <c r="E49" s="57" t="str">
        <f>"ĐC Bia CV "&amp;LEFT(A49,5)</f>
        <v>ĐC Bia CV 28.07</v>
      </c>
      <c r="F49" s="57" t="str">
        <f t="shared" si="5"/>
        <v>Z55</v>
      </c>
      <c r="J49" s="58">
        <v>10168110</v>
      </c>
      <c r="K49" s="59">
        <v>24</v>
      </c>
      <c r="M49" s="16">
        <f t="shared" si="12"/>
        <v>1263</v>
      </c>
      <c r="N49" s="16">
        <f t="shared" si="12"/>
        <v>2143</v>
      </c>
      <c r="O49" s="57">
        <f t="shared" si="12"/>
        <v>1368</v>
      </c>
      <c r="P49" s="16"/>
      <c r="Q49" s="57" t="str">
        <f t="shared" si="3"/>
        <v>ĐC Bia CV 28.07</v>
      </c>
      <c r="Z49" s="60">
        <v>1050</v>
      </c>
      <c r="AA49" s="60">
        <v>2037</v>
      </c>
      <c r="AB49" s="57">
        <f t="shared" si="6"/>
        <v>1368</v>
      </c>
    </row>
    <row r="50" spans="1:28" s="58" customFormat="1" ht="16.5" x14ac:dyDescent="0.25">
      <c r="A50" s="55" t="s">
        <v>78</v>
      </c>
      <c r="B50" s="56" t="str">
        <f t="shared" si="4"/>
        <v>28.07.2026</v>
      </c>
      <c r="C50" s="57" t="str">
        <f t="shared" si="10"/>
        <v>A07</v>
      </c>
      <c r="D50" s="57" t="str">
        <f t="shared" si="10"/>
        <v>R10</v>
      </c>
      <c r="E50" s="57" t="str">
        <f t="shared" ref="E50:E51" si="15">"ĐC Bia CV "&amp;LEFT(A50,5)</f>
        <v>ĐC Bia CV 28.07</v>
      </c>
      <c r="F50" s="57" t="str">
        <f t="shared" si="5"/>
        <v>Z55</v>
      </c>
      <c r="J50" s="58">
        <v>10174039</v>
      </c>
      <c r="K50" s="59">
        <v>24</v>
      </c>
      <c r="M50" s="16">
        <f t="shared" si="12"/>
        <v>1263</v>
      </c>
      <c r="N50" s="16">
        <f t="shared" si="12"/>
        <v>2143</v>
      </c>
      <c r="O50" s="57">
        <f t="shared" si="12"/>
        <v>1368</v>
      </c>
      <c r="P50" s="16"/>
      <c r="Q50" s="57" t="str">
        <f t="shared" si="3"/>
        <v>ĐC Bia CV 28.07</v>
      </c>
      <c r="Z50" s="60">
        <v>1050</v>
      </c>
      <c r="AA50" s="60">
        <v>2037</v>
      </c>
      <c r="AB50" s="57">
        <f t="shared" si="6"/>
        <v>1368</v>
      </c>
    </row>
    <row r="51" spans="1:28" s="58" customFormat="1" ht="16.5" x14ac:dyDescent="0.25">
      <c r="A51" s="55" t="s">
        <v>78</v>
      </c>
      <c r="B51" s="56" t="str">
        <f t="shared" si="4"/>
        <v>28.07.2026</v>
      </c>
      <c r="C51" s="57" t="str">
        <f t="shared" si="10"/>
        <v>A07</v>
      </c>
      <c r="D51" s="57" t="str">
        <f t="shared" si="10"/>
        <v>R10</v>
      </c>
      <c r="E51" s="57" t="str">
        <f t="shared" si="15"/>
        <v>ĐC Bia CV 28.07</v>
      </c>
      <c r="F51" s="57" t="str">
        <f t="shared" si="5"/>
        <v>Z55</v>
      </c>
      <c r="J51" s="58">
        <v>10168111</v>
      </c>
      <c r="K51" s="59">
        <v>24</v>
      </c>
      <c r="M51" s="16">
        <f t="shared" si="12"/>
        <v>1263</v>
      </c>
      <c r="N51" s="16">
        <f t="shared" si="12"/>
        <v>2143</v>
      </c>
      <c r="O51" s="57">
        <f t="shared" si="12"/>
        <v>1368</v>
      </c>
      <c r="P51" s="16"/>
      <c r="Q51" s="57" t="str">
        <f t="shared" si="3"/>
        <v>ĐC Bia CV 28.07</v>
      </c>
      <c r="Z51" s="60">
        <v>1050</v>
      </c>
      <c r="AA51" s="60">
        <v>2037</v>
      </c>
      <c r="AB51" s="57">
        <f t="shared" si="6"/>
        <v>1368</v>
      </c>
    </row>
    <row r="52" spans="1:28" ht="16.5" x14ac:dyDescent="0.25">
      <c r="A52" s="61" t="s">
        <v>78</v>
      </c>
      <c r="B52" s="7" t="str">
        <f t="shared" si="4"/>
        <v>28.07.2026</v>
      </c>
      <c r="C52" s="8" t="str">
        <f t="shared" si="10"/>
        <v>A07</v>
      </c>
      <c r="D52" s="8" t="str">
        <f t="shared" si="10"/>
        <v>R10</v>
      </c>
      <c r="E52" s="8" t="str">
        <f>"ĐC Bia GA 10 "&amp;LEFT(A52,5)</f>
        <v>ĐC Bia GA 10 28.07</v>
      </c>
      <c r="F52" s="8" t="str">
        <f t="shared" si="5"/>
        <v>Z55</v>
      </c>
      <c r="J52" s="62">
        <v>10168110</v>
      </c>
      <c r="K52" s="63">
        <v>48</v>
      </c>
      <c r="M52" s="11">
        <f t="shared" si="12"/>
        <v>1263</v>
      </c>
      <c r="N52" s="11">
        <f t="shared" si="12"/>
        <v>2143</v>
      </c>
      <c r="O52" s="8">
        <f t="shared" si="12"/>
        <v>1368</v>
      </c>
      <c r="P52" s="11"/>
      <c r="Q52" s="8" t="str">
        <f t="shared" si="3"/>
        <v>ĐC Bia GA 10 28.07</v>
      </c>
      <c r="Z52" s="64">
        <v>1050</v>
      </c>
      <c r="AA52" s="64">
        <v>2036</v>
      </c>
      <c r="AB52" s="8">
        <f t="shared" si="6"/>
        <v>1368</v>
      </c>
    </row>
    <row r="53" spans="1:28" s="58" customFormat="1" ht="16.5" x14ac:dyDescent="0.25">
      <c r="A53" s="65" t="s">
        <v>84</v>
      </c>
      <c r="B53" s="7" t="str">
        <f t="shared" si="4"/>
        <v>31.07.2026</v>
      </c>
      <c r="C53" s="8" t="str">
        <f t="shared" si="10"/>
        <v>A07</v>
      </c>
      <c r="D53" s="8" t="str">
        <f t="shared" si="10"/>
        <v>R10</v>
      </c>
      <c r="E53" s="57" t="str">
        <f>"ĐC Bia B8 "&amp;LEFT(A53,5)</f>
        <v>ĐC Bia B8 31.07</v>
      </c>
      <c r="F53" s="8" t="str">
        <f t="shared" si="5"/>
        <v>Z55</v>
      </c>
      <c r="J53" s="66">
        <v>10168107</v>
      </c>
      <c r="K53" s="67">
        <v>61.8</v>
      </c>
      <c r="M53" s="11">
        <f t="shared" si="12"/>
        <v>1263</v>
      </c>
      <c r="N53" s="11">
        <f t="shared" si="12"/>
        <v>2143</v>
      </c>
      <c r="O53" s="8">
        <f t="shared" si="12"/>
        <v>1368</v>
      </c>
      <c r="P53" s="11"/>
      <c r="Q53" s="8" t="str">
        <f t="shared" si="3"/>
        <v>ĐC Bia B8 31.07</v>
      </c>
      <c r="Z53" s="60">
        <v>1038</v>
      </c>
      <c r="AA53" s="60">
        <v>2013</v>
      </c>
      <c r="AB53" s="8">
        <f t="shared" si="6"/>
        <v>1368</v>
      </c>
    </row>
    <row r="54" spans="1:28" s="58" customFormat="1" ht="16.5" x14ac:dyDescent="0.25">
      <c r="A54" s="65" t="s">
        <v>84</v>
      </c>
      <c r="B54" s="7" t="str">
        <f t="shared" si="4"/>
        <v>31.07.2026</v>
      </c>
      <c r="C54" s="8" t="str">
        <f t="shared" si="10"/>
        <v>A07</v>
      </c>
      <c r="D54" s="8" t="str">
        <f t="shared" si="10"/>
        <v>R10</v>
      </c>
      <c r="E54" s="57" t="str">
        <f t="shared" ref="E54:E55" si="16">"ĐC Bia B8 "&amp;LEFT(A54,5)</f>
        <v>ĐC Bia B8 31.07</v>
      </c>
      <c r="F54" s="8" t="str">
        <f t="shared" si="5"/>
        <v>Z55</v>
      </c>
      <c r="J54" s="66">
        <v>10168110</v>
      </c>
      <c r="K54" s="67">
        <v>48</v>
      </c>
      <c r="M54" s="11">
        <f t="shared" si="12"/>
        <v>1263</v>
      </c>
      <c r="N54" s="11">
        <f t="shared" si="12"/>
        <v>2143</v>
      </c>
      <c r="O54" s="8">
        <f t="shared" si="12"/>
        <v>1368</v>
      </c>
      <c r="P54" s="11"/>
      <c r="Q54" s="8" t="str">
        <f t="shared" si="3"/>
        <v>ĐC Bia B8 31.07</v>
      </c>
      <c r="Z54" s="60">
        <v>1038</v>
      </c>
      <c r="AA54" s="60">
        <v>2013</v>
      </c>
      <c r="AB54" s="8">
        <f t="shared" si="6"/>
        <v>1368</v>
      </c>
    </row>
    <row r="55" spans="1:28" s="58" customFormat="1" ht="16.5" x14ac:dyDescent="0.25">
      <c r="A55" s="55" t="s">
        <v>84</v>
      </c>
      <c r="B55" s="7" t="str">
        <f t="shared" si="4"/>
        <v>31.07.2026</v>
      </c>
      <c r="C55" s="8" t="str">
        <f t="shared" ref="C55:D58" si="17">+C54</f>
        <v>A07</v>
      </c>
      <c r="D55" s="8" t="str">
        <f t="shared" si="17"/>
        <v>R10</v>
      </c>
      <c r="E55" s="57" t="str">
        <f t="shared" si="16"/>
        <v>ĐC Bia B8 31.07</v>
      </c>
      <c r="F55" s="8" t="str">
        <f t="shared" si="5"/>
        <v>Z55</v>
      </c>
      <c r="J55" s="58">
        <v>10168111</v>
      </c>
      <c r="K55" s="59">
        <v>24</v>
      </c>
      <c r="M55" s="11">
        <f t="shared" ref="M55:O58" si="18">+M54</f>
        <v>1263</v>
      </c>
      <c r="N55" s="11">
        <f t="shared" si="18"/>
        <v>2143</v>
      </c>
      <c r="O55" s="8">
        <f t="shared" si="18"/>
        <v>1368</v>
      </c>
      <c r="P55" s="11"/>
      <c r="Q55" s="8" t="str">
        <f t="shared" si="3"/>
        <v>ĐC Bia B8 31.07</v>
      </c>
      <c r="Z55" s="60">
        <v>1038</v>
      </c>
      <c r="AA55" s="60">
        <v>2013</v>
      </c>
      <c r="AB55" s="8">
        <f t="shared" si="6"/>
        <v>1368</v>
      </c>
    </row>
    <row r="56" spans="1:28" s="70" customFormat="1" ht="16.5" x14ac:dyDescent="0.25">
      <c r="A56" s="68" t="s">
        <v>78</v>
      </c>
      <c r="B56" s="7" t="str">
        <f t="shared" si="4"/>
        <v>28.07.2026</v>
      </c>
      <c r="C56" s="8" t="str">
        <f t="shared" si="17"/>
        <v>A07</v>
      </c>
      <c r="D56" s="8" t="str">
        <f t="shared" si="17"/>
        <v>R10</v>
      </c>
      <c r="E56" s="69" t="s">
        <v>85</v>
      </c>
      <c r="F56" s="8" t="str">
        <f t="shared" si="5"/>
        <v>Z55</v>
      </c>
      <c r="J56" s="70">
        <v>10191541</v>
      </c>
      <c r="K56" s="71">
        <v>20.6</v>
      </c>
      <c r="M56" s="11">
        <f t="shared" si="18"/>
        <v>1263</v>
      </c>
      <c r="N56" s="11">
        <f t="shared" si="18"/>
        <v>2143</v>
      </c>
      <c r="O56" s="8">
        <f t="shared" si="18"/>
        <v>1368</v>
      </c>
      <c r="P56" s="11"/>
      <c r="Q56" s="8" t="str">
        <f t="shared" si="3"/>
        <v>ĐC Bia BULGOGI 31.07</v>
      </c>
      <c r="Z56" s="72">
        <v>2336</v>
      </c>
      <c r="AA56" s="72">
        <v>1000</v>
      </c>
      <c r="AB56" s="8">
        <f t="shared" si="6"/>
        <v>1368</v>
      </c>
    </row>
    <row r="57" spans="1:28" s="70" customFormat="1" ht="16.5" x14ac:dyDescent="0.25">
      <c r="A57" s="68" t="s">
        <v>78</v>
      </c>
      <c r="B57" s="7" t="str">
        <f t="shared" si="4"/>
        <v>28.07.2026</v>
      </c>
      <c r="C57" s="8" t="str">
        <f t="shared" si="17"/>
        <v>A07</v>
      </c>
      <c r="D57" s="8" t="str">
        <f t="shared" si="17"/>
        <v>R10</v>
      </c>
      <c r="E57" s="69" t="s">
        <v>85</v>
      </c>
      <c r="F57" s="8" t="str">
        <f t="shared" si="5"/>
        <v>Z55</v>
      </c>
      <c r="J57" s="70">
        <v>10168110</v>
      </c>
      <c r="K57" s="71">
        <v>24</v>
      </c>
      <c r="M57" s="11">
        <f t="shared" si="18"/>
        <v>1263</v>
      </c>
      <c r="N57" s="11">
        <f t="shared" si="18"/>
        <v>2143</v>
      </c>
      <c r="O57" s="8">
        <f t="shared" si="18"/>
        <v>1368</v>
      </c>
      <c r="P57" s="11"/>
      <c r="Q57" s="8" t="str">
        <f t="shared" si="3"/>
        <v>ĐC Bia BULGOGI 31.07</v>
      </c>
      <c r="Z57" s="72">
        <v>2336</v>
      </c>
      <c r="AA57" s="72">
        <v>1000</v>
      </c>
      <c r="AB57" s="8">
        <f t="shared" si="6"/>
        <v>1368</v>
      </c>
    </row>
    <row r="58" spans="1:28" s="70" customFormat="1" ht="16.5" x14ac:dyDescent="0.25">
      <c r="A58" s="68" t="s">
        <v>78</v>
      </c>
      <c r="B58" s="7" t="str">
        <f t="shared" si="4"/>
        <v>28.07.2026</v>
      </c>
      <c r="C58" s="8" t="str">
        <f t="shared" si="17"/>
        <v>A07</v>
      </c>
      <c r="D58" s="8" t="str">
        <f t="shared" si="17"/>
        <v>R10</v>
      </c>
      <c r="E58" s="69" t="s">
        <v>85</v>
      </c>
      <c r="F58" s="8" t="str">
        <f t="shared" si="5"/>
        <v>Z55</v>
      </c>
      <c r="J58" s="70">
        <v>10168111</v>
      </c>
      <c r="K58" s="71">
        <v>24</v>
      </c>
      <c r="M58" s="11">
        <f t="shared" si="18"/>
        <v>1263</v>
      </c>
      <c r="N58" s="11">
        <f t="shared" si="18"/>
        <v>2143</v>
      </c>
      <c r="O58" s="8">
        <f t="shared" si="18"/>
        <v>1368</v>
      </c>
      <c r="P58" s="11"/>
      <c r="Q58" s="8" t="str">
        <f t="shared" si="3"/>
        <v>ĐC Bia BULGOGI 31.07</v>
      </c>
      <c r="Z58" s="72">
        <v>2336</v>
      </c>
      <c r="AA58" s="72">
        <v>1000</v>
      </c>
      <c r="AB58" s="8">
        <f t="shared" si="6"/>
        <v>1368</v>
      </c>
    </row>
    <row r="59" spans="1:28" ht="16.5" x14ac:dyDescent="0.25">
      <c r="A59" s="73"/>
      <c r="B59" s="74"/>
      <c r="C59" s="2"/>
      <c r="D59" s="2"/>
      <c r="E59" s="2"/>
      <c r="F59" s="2"/>
      <c r="J59" s="75"/>
      <c r="K59" s="76"/>
      <c r="O59" s="2"/>
      <c r="Q59" s="2"/>
      <c r="Z59" s="64"/>
      <c r="AA59" s="64"/>
      <c r="AB59" s="2"/>
    </row>
    <row r="60" spans="1:28" ht="16.5" x14ac:dyDescent="0.25">
      <c r="A60" s="61"/>
      <c r="B60" s="74"/>
      <c r="C60" s="2"/>
      <c r="D60" s="2"/>
      <c r="E60" s="2"/>
      <c r="F60" s="2"/>
      <c r="J60" s="62"/>
      <c r="K60" s="63"/>
      <c r="O60" s="2"/>
      <c r="Q60" s="2"/>
      <c r="Z60" s="64"/>
      <c r="AA60" s="64"/>
      <c r="AB60" s="2"/>
    </row>
    <row r="61" spans="1:28" ht="16.5" x14ac:dyDescent="0.25">
      <c r="A61" s="61"/>
      <c r="B61" s="74"/>
      <c r="C61" s="2"/>
      <c r="D61" s="2"/>
      <c r="E61" s="2"/>
      <c r="F61" s="2"/>
      <c r="J61" s="62"/>
      <c r="K61" s="63"/>
      <c r="O61" s="2"/>
      <c r="Q61" s="2"/>
      <c r="Z61" s="64"/>
      <c r="AA61" s="64"/>
      <c r="AB61" s="2"/>
    </row>
    <row r="62" spans="1:28" ht="16.5" x14ac:dyDescent="0.25">
      <c r="A62" s="61"/>
      <c r="B62" s="74"/>
      <c r="C62" s="2"/>
      <c r="D62" s="2"/>
      <c r="E62" s="2"/>
      <c r="F62" s="2"/>
      <c r="J62" s="62"/>
      <c r="K62" s="63"/>
      <c r="O62" s="2"/>
      <c r="Q62" s="2"/>
      <c r="Z62" s="64"/>
      <c r="AA62" s="64"/>
      <c r="AB62" s="2"/>
    </row>
    <row r="63" spans="1:28" ht="16.5" x14ac:dyDescent="0.25">
      <c r="A63" s="61"/>
      <c r="B63" s="74"/>
      <c r="C63" s="2"/>
      <c r="D63" s="2"/>
      <c r="E63" s="2"/>
      <c r="F63" s="2"/>
      <c r="J63" s="62"/>
      <c r="K63" s="63"/>
      <c r="O63" s="2"/>
      <c r="Q63" s="2"/>
      <c r="Z63" s="64"/>
      <c r="AA63" s="64"/>
      <c r="AB63" s="2"/>
    </row>
    <row r="64" spans="1:28" ht="16.5" x14ac:dyDescent="0.25">
      <c r="A64" s="61"/>
      <c r="B64" s="74"/>
      <c r="C64" s="2"/>
      <c r="D64" s="2"/>
      <c r="E64" s="2"/>
      <c r="F64" s="2"/>
      <c r="J64" s="62"/>
      <c r="K64" s="63"/>
      <c r="O64" s="2"/>
      <c r="Q64" s="2"/>
      <c r="Z64" s="64"/>
      <c r="AA64" s="64"/>
      <c r="AB64" s="2"/>
    </row>
    <row r="65" spans="1:28" ht="16.5" x14ac:dyDescent="0.25">
      <c r="A65" s="61"/>
      <c r="B65" s="74"/>
      <c r="C65" s="2"/>
      <c r="D65" s="2"/>
      <c r="E65" s="2"/>
      <c r="F65" s="2"/>
      <c r="J65" s="62"/>
      <c r="K65" s="63"/>
      <c r="O65" s="2"/>
      <c r="Q65" s="2"/>
      <c r="Z65" s="64"/>
      <c r="AA65" s="64"/>
      <c r="AB65" s="2"/>
    </row>
    <row r="66" spans="1:28" ht="16.5" x14ac:dyDescent="0.25">
      <c r="A66" s="77"/>
      <c r="B66" s="74"/>
      <c r="C66" s="2"/>
      <c r="D66" s="2"/>
      <c r="E66" s="2"/>
      <c r="F66" s="2"/>
      <c r="J66" s="78"/>
      <c r="K66" s="79"/>
      <c r="O66" s="2"/>
      <c r="Q66" s="2"/>
      <c r="Z66" s="64"/>
      <c r="AA66" s="64"/>
      <c r="AB66" s="2"/>
    </row>
    <row r="67" spans="1:28" ht="16.5" x14ac:dyDescent="0.25">
      <c r="A67" s="77"/>
      <c r="B67" s="74"/>
      <c r="C67" s="2"/>
      <c r="D67" s="2"/>
      <c r="E67" s="2"/>
      <c r="F67" s="2"/>
      <c r="J67" s="78"/>
      <c r="K67" s="79"/>
      <c r="O67" s="2"/>
      <c r="Q67" s="2"/>
      <c r="Z67" s="64"/>
      <c r="AA67" s="64"/>
      <c r="AB67" s="2"/>
    </row>
    <row r="68" spans="1:28" ht="16.5" x14ac:dyDescent="0.25">
      <c r="A68" s="77"/>
      <c r="B68" s="74"/>
      <c r="C68" s="2"/>
      <c r="D68" s="2"/>
      <c r="E68" s="2"/>
      <c r="F68" s="2"/>
      <c r="J68" s="78"/>
      <c r="K68" s="79"/>
      <c r="O68" s="2"/>
      <c r="Q68" s="2"/>
      <c r="Z68" s="64"/>
      <c r="AA68" s="64"/>
      <c r="AB68" s="2"/>
    </row>
    <row r="69" spans="1:28" ht="16.5" x14ac:dyDescent="0.25">
      <c r="A69" s="61"/>
      <c r="B69" s="74"/>
      <c r="C69" s="2"/>
      <c r="D69" s="2"/>
      <c r="E69" s="2"/>
      <c r="F69" s="2"/>
      <c r="J69" s="62"/>
      <c r="K69" s="63"/>
      <c r="O69" s="2"/>
      <c r="Q69" s="2"/>
      <c r="Z69" s="64"/>
      <c r="AA69" s="64"/>
      <c r="AB69" s="2"/>
    </row>
    <row r="70" spans="1:28" ht="16.5" x14ac:dyDescent="0.25">
      <c r="A70" s="61"/>
      <c r="B70" s="74"/>
      <c r="C70" s="2"/>
      <c r="D70" s="2"/>
      <c r="E70" s="2"/>
      <c r="F70" s="2"/>
      <c r="J70" s="62"/>
      <c r="K70" s="63"/>
      <c r="O70" s="2"/>
      <c r="Q70" s="2"/>
      <c r="Z70" s="64"/>
      <c r="AA70" s="64"/>
      <c r="AB70" s="2"/>
    </row>
    <row r="71" spans="1:28" ht="16.5" x14ac:dyDescent="0.25">
      <c r="A71" s="61"/>
      <c r="B71" s="74"/>
      <c r="C71" s="2"/>
      <c r="D71" s="2"/>
      <c r="E71" s="2"/>
      <c r="F71" s="2"/>
      <c r="J71" s="62"/>
      <c r="K71" s="63"/>
      <c r="O71" s="2"/>
      <c r="Q71" s="2"/>
      <c r="Z71" s="64"/>
      <c r="AA71" s="64"/>
      <c r="AB71" s="2"/>
    </row>
    <row r="72" spans="1:28" ht="16.5" x14ac:dyDescent="0.25">
      <c r="A72" s="77"/>
      <c r="B72" s="74"/>
      <c r="C72" s="2"/>
      <c r="D72" s="2"/>
      <c r="E72" s="2"/>
      <c r="F72" s="2"/>
      <c r="J72" s="78"/>
      <c r="K72" s="79"/>
      <c r="O72" s="2"/>
      <c r="Q72" s="2"/>
      <c r="Z72" s="64"/>
      <c r="AA72" s="64"/>
      <c r="AB72" s="2"/>
    </row>
    <row r="73" spans="1:28" ht="16.5" x14ac:dyDescent="0.25">
      <c r="A73" s="77"/>
      <c r="B73" s="74"/>
      <c r="C73" s="2"/>
      <c r="D73" s="2"/>
      <c r="E73" s="2"/>
      <c r="F73" s="2"/>
      <c r="J73" s="78"/>
      <c r="K73" s="79"/>
      <c r="O73" s="2"/>
      <c r="Q73" s="2"/>
      <c r="Z73" s="64"/>
      <c r="AA73" s="64"/>
      <c r="AB73" s="2"/>
    </row>
    <row r="74" spans="1:28" ht="16.5" x14ac:dyDescent="0.25">
      <c r="A74" s="77"/>
      <c r="B74" s="74"/>
      <c r="C74" s="2"/>
      <c r="D74" s="2"/>
      <c r="E74" s="2"/>
      <c r="F74" s="2"/>
      <c r="J74" s="78"/>
      <c r="K74" s="79"/>
      <c r="O74" s="2"/>
      <c r="Q74" s="2"/>
      <c r="Z74" s="64"/>
      <c r="AA74" s="64"/>
      <c r="AB74" s="2"/>
    </row>
    <row r="75" spans="1:28" ht="16.5" x14ac:dyDescent="0.25">
      <c r="A75" s="61"/>
      <c r="B75" s="74"/>
      <c r="C75" s="2"/>
      <c r="D75" s="2"/>
      <c r="E75" s="2"/>
      <c r="F75" s="2"/>
      <c r="J75" s="62"/>
      <c r="K75" s="63"/>
      <c r="O75" s="2"/>
      <c r="Q75" s="2"/>
      <c r="Z75" s="64"/>
      <c r="AA75" s="64"/>
      <c r="AB75" s="2"/>
    </row>
    <row r="76" spans="1:28" ht="16.5" x14ac:dyDescent="0.25">
      <c r="A76" s="61"/>
      <c r="B76" s="74"/>
      <c r="C76" s="2"/>
      <c r="D76" s="2"/>
      <c r="E76" s="2"/>
      <c r="F76" s="2"/>
      <c r="J76" s="62"/>
      <c r="K76" s="63"/>
      <c r="O76" s="2"/>
      <c r="Q76" s="2"/>
      <c r="Z76" s="64"/>
      <c r="AA76" s="64"/>
      <c r="AB76" s="2"/>
    </row>
    <row r="77" spans="1:28" ht="16.5" x14ac:dyDescent="0.25">
      <c r="A77" s="61"/>
      <c r="B77" s="74"/>
      <c r="C77" s="2"/>
      <c r="D77" s="2"/>
      <c r="E77" s="2"/>
      <c r="F77" s="2"/>
      <c r="J77" s="62"/>
      <c r="K77" s="63"/>
      <c r="O77" s="2"/>
      <c r="Q77" s="2"/>
      <c r="Z77" s="64"/>
      <c r="AA77" s="64"/>
      <c r="AB77" s="2"/>
    </row>
    <row r="78" spans="1:28" ht="16.5" x14ac:dyDescent="0.25">
      <c r="A78" s="77"/>
      <c r="B78" s="74"/>
      <c r="C78" s="2"/>
      <c r="D78" s="2"/>
      <c r="E78" s="2"/>
      <c r="F78" s="2"/>
      <c r="J78" s="78"/>
      <c r="K78" s="79"/>
      <c r="O78" s="2"/>
      <c r="Q78" s="2"/>
      <c r="Z78" s="64"/>
      <c r="AA78" s="64"/>
      <c r="AB78" s="2"/>
    </row>
    <row r="79" spans="1:28" ht="16.5" x14ac:dyDescent="0.25">
      <c r="A79" s="77"/>
      <c r="B79" s="74"/>
      <c r="C79" s="2"/>
      <c r="D79" s="2"/>
      <c r="E79" s="2"/>
      <c r="F79" s="2"/>
      <c r="J79" s="78"/>
      <c r="K79" s="79"/>
      <c r="O79" s="2"/>
      <c r="Q79" s="2"/>
      <c r="Z79" s="64"/>
      <c r="AA79" s="64"/>
      <c r="AB79" s="2"/>
    </row>
    <row r="80" spans="1:28" ht="16.5" x14ac:dyDescent="0.25">
      <c r="A80" s="77"/>
      <c r="B80" s="74"/>
      <c r="C80" s="2"/>
      <c r="D80" s="2"/>
      <c r="E80" s="2"/>
      <c r="F80" s="2"/>
      <c r="J80" s="78"/>
      <c r="K80" s="79"/>
      <c r="O80" s="2"/>
      <c r="Q80" s="2"/>
      <c r="Z80" s="64"/>
      <c r="AA80" s="64"/>
      <c r="AB80" s="2"/>
    </row>
    <row r="81" spans="1:28" ht="16.5" x14ac:dyDescent="0.25">
      <c r="A81" s="73"/>
      <c r="B81" s="74"/>
      <c r="C81" s="2"/>
      <c r="D81" s="2"/>
      <c r="E81" s="2"/>
      <c r="F81" s="2"/>
      <c r="J81" s="75"/>
      <c r="K81" s="76"/>
      <c r="O81" s="2"/>
      <c r="Q81" s="2"/>
      <c r="Z81" s="64"/>
      <c r="AA81" s="64"/>
      <c r="AB81" s="2"/>
    </row>
    <row r="82" spans="1:28" ht="16.5" x14ac:dyDescent="0.25">
      <c r="A82" s="61"/>
      <c r="B82" s="74"/>
      <c r="C82" s="2"/>
      <c r="D82" s="2"/>
      <c r="E82" s="2"/>
      <c r="F82" s="2"/>
      <c r="J82" s="62"/>
      <c r="K82" s="63"/>
      <c r="O82" s="2"/>
      <c r="Q82" s="2"/>
      <c r="Z82" s="64"/>
      <c r="AA82" s="64"/>
      <c r="AB82" s="2"/>
    </row>
    <row r="83" spans="1:28" ht="16.5" x14ac:dyDescent="0.25">
      <c r="A83" s="61"/>
      <c r="B83" s="74"/>
      <c r="C83" s="2"/>
      <c r="D83" s="2"/>
      <c r="E83" s="2"/>
      <c r="F83" s="2"/>
      <c r="J83" s="62"/>
      <c r="K83" s="63"/>
      <c r="O83" s="2"/>
      <c r="Q83" s="2"/>
      <c r="Z83" s="64"/>
      <c r="AA83" s="64"/>
      <c r="AB83" s="2"/>
    </row>
    <row r="84" spans="1:28" ht="16.5" x14ac:dyDescent="0.25">
      <c r="A84" s="80"/>
      <c r="B84" s="74"/>
      <c r="C84" s="2"/>
      <c r="D84" s="2"/>
      <c r="E84" s="2"/>
      <c r="F84" s="2"/>
      <c r="J84" s="81"/>
      <c r="K84" s="82"/>
      <c r="O84" s="2"/>
      <c r="Q84" s="2"/>
      <c r="Z84" s="64"/>
      <c r="AA84" s="64"/>
      <c r="AB84" s="2"/>
    </row>
    <row r="85" spans="1:28" ht="16.5" x14ac:dyDescent="0.25">
      <c r="A85" s="77"/>
      <c r="B85" s="74"/>
      <c r="C85" s="2"/>
      <c r="D85" s="2"/>
      <c r="E85" s="2"/>
      <c r="F85" s="2"/>
      <c r="J85" s="78"/>
      <c r="K85" s="79"/>
      <c r="O85" s="2"/>
      <c r="Q85" s="2"/>
      <c r="Z85" s="64"/>
      <c r="AA85" s="64"/>
      <c r="AB85" s="2"/>
    </row>
    <row r="86" spans="1:28" ht="16.5" x14ac:dyDescent="0.25">
      <c r="A86" s="73"/>
      <c r="B86" s="74"/>
      <c r="C86" s="2"/>
      <c r="D86" s="2"/>
      <c r="E86" s="2"/>
      <c r="F86" s="2"/>
      <c r="J86" s="75"/>
      <c r="K86" s="76"/>
      <c r="O86" s="2"/>
      <c r="Q86" s="2"/>
      <c r="Z86" s="64"/>
      <c r="AA86" s="64"/>
      <c r="AB86" s="2"/>
    </row>
    <row r="87" spans="1:28" ht="16.5" x14ac:dyDescent="0.25">
      <c r="A87" s="80"/>
      <c r="B87" s="74"/>
      <c r="C87" s="2"/>
      <c r="D87" s="2"/>
      <c r="E87" s="2"/>
      <c r="F87" s="2"/>
      <c r="J87" s="81"/>
      <c r="K87" s="82"/>
      <c r="O87" s="2"/>
      <c r="Q87" s="2"/>
      <c r="Z87" s="64"/>
      <c r="AA87" s="64"/>
      <c r="AB87" s="2"/>
    </row>
    <row r="88" spans="1:28" ht="16.5" x14ac:dyDescent="0.25">
      <c r="A88" s="77"/>
      <c r="B88" s="74"/>
      <c r="C88" s="2"/>
      <c r="D88" s="2"/>
      <c r="E88" s="2"/>
      <c r="F88" s="2"/>
      <c r="J88" s="78"/>
      <c r="K88" s="79"/>
      <c r="O88" s="2"/>
      <c r="Q88" s="2"/>
      <c r="Z88" s="64"/>
      <c r="AA88" s="64"/>
      <c r="AB88" s="2"/>
    </row>
    <row r="89" spans="1:28" ht="16.5" x14ac:dyDescent="0.25">
      <c r="A89" s="73"/>
      <c r="B89" s="74"/>
      <c r="C89" s="2"/>
      <c r="D89" s="2"/>
      <c r="E89" s="2"/>
      <c r="F89" s="2"/>
      <c r="J89" s="75"/>
      <c r="K89" s="76"/>
      <c r="O89" s="2"/>
      <c r="Q89" s="2"/>
      <c r="Z89" s="64"/>
      <c r="AA89" s="64"/>
      <c r="AB89" s="2"/>
    </row>
    <row r="90" spans="1:28" ht="16.5" x14ac:dyDescent="0.25">
      <c r="A90" s="61"/>
      <c r="B90" s="74"/>
      <c r="C90" s="2"/>
      <c r="D90" s="2"/>
      <c r="E90" s="2"/>
      <c r="F90" s="2"/>
      <c r="J90" s="62"/>
      <c r="K90" s="63"/>
      <c r="O90" s="2"/>
      <c r="Q90" s="2"/>
      <c r="Z90" s="64"/>
      <c r="AA90" s="64"/>
      <c r="AB90" s="2"/>
    </row>
    <row r="91" spans="1:28" ht="16.5" x14ac:dyDescent="0.25">
      <c r="A91" s="61"/>
      <c r="B91" s="74"/>
      <c r="C91" s="2"/>
      <c r="D91" s="2"/>
      <c r="E91" s="2"/>
      <c r="F91" s="2"/>
      <c r="J91" s="62"/>
      <c r="K91" s="63"/>
      <c r="O91" s="2"/>
      <c r="Q91" s="2"/>
      <c r="Z91" s="64"/>
      <c r="AA91" s="64"/>
      <c r="AB91" s="2"/>
    </row>
    <row r="92" spans="1:28" ht="16.5" x14ac:dyDescent="0.25">
      <c r="A92" s="80"/>
      <c r="B92" s="74"/>
      <c r="C92" s="2"/>
      <c r="D92" s="2"/>
      <c r="E92" s="2"/>
      <c r="F92" s="2"/>
      <c r="J92" s="81"/>
      <c r="K92" s="82"/>
      <c r="O92" s="2"/>
      <c r="Q92" s="2"/>
      <c r="Z92" s="64"/>
      <c r="AA92" s="64"/>
      <c r="AB92" s="2"/>
    </row>
    <row r="93" spans="1:28" ht="16.5" x14ac:dyDescent="0.25">
      <c r="A93" s="77"/>
      <c r="B93" s="74"/>
      <c r="C93" s="2"/>
      <c r="D93" s="2"/>
      <c r="E93" s="2"/>
      <c r="F93" s="2"/>
      <c r="J93" s="78"/>
      <c r="K93" s="79"/>
      <c r="O93" s="2"/>
      <c r="Q93" s="2"/>
      <c r="Z93" s="64"/>
      <c r="AA93" s="64"/>
      <c r="AB93" s="2"/>
    </row>
    <row r="94" spans="1:28" ht="16.5" x14ac:dyDescent="0.25">
      <c r="A94" s="73"/>
      <c r="B94" s="74"/>
      <c r="C94" s="2"/>
      <c r="D94" s="2"/>
      <c r="E94" s="2"/>
      <c r="F94" s="2"/>
      <c r="J94" s="75"/>
      <c r="K94" s="76"/>
      <c r="O94" s="2"/>
      <c r="Q94" s="2"/>
      <c r="Z94" s="64"/>
      <c r="AA94" s="64"/>
      <c r="AB94" s="2"/>
    </row>
    <row r="95" spans="1:28" ht="16.5" x14ac:dyDescent="0.25">
      <c r="A95" s="61"/>
      <c r="B95" s="74"/>
      <c r="C95" s="2"/>
      <c r="D95" s="2"/>
      <c r="E95" s="2"/>
      <c r="F95" s="2"/>
      <c r="J95" s="62"/>
      <c r="K95" s="63"/>
      <c r="O95" s="2"/>
      <c r="Q95" s="2"/>
      <c r="Z95" s="64"/>
      <c r="AA95" s="64"/>
      <c r="AB95" s="2"/>
    </row>
    <row r="96" spans="1:28" ht="16.5" x14ac:dyDescent="0.25">
      <c r="A96" s="61"/>
      <c r="B96" s="74"/>
      <c r="C96" s="2"/>
      <c r="D96" s="2"/>
      <c r="E96" s="2"/>
      <c r="F96" s="2"/>
      <c r="J96" s="62"/>
      <c r="K96" s="83"/>
      <c r="O96" s="2"/>
      <c r="Q96" s="2"/>
      <c r="Z96" s="64"/>
      <c r="AA96" s="64"/>
      <c r="AB96" s="2"/>
    </row>
    <row r="97" spans="1:28" ht="16.5" x14ac:dyDescent="0.25">
      <c r="A97" s="77"/>
      <c r="B97" s="74"/>
      <c r="C97" s="2"/>
      <c r="D97" s="2"/>
      <c r="E97" s="2"/>
      <c r="F97" s="2"/>
      <c r="J97" s="78"/>
      <c r="K97" s="84"/>
      <c r="O97" s="2"/>
      <c r="Q97" s="2"/>
      <c r="Z97" s="64"/>
      <c r="AA97" s="64"/>
      <c r="AB97" s="2"/>
    </row>
    <row r="98" spans="1:28" ht="16.5" x14ac:dyDescent="0.25">
      <c r="A98" s="77"/>
      <c r="B98" s="74"/>
      <c r="C98" s="2"/>
      <c r="D98" s="2"/>
      <c r="E98" s="2"/>
      <c r="F98" s="2"/>
      <c r="J98" s="78"/>
      <c r="K98" s="84"/>
      <c r="O98" s="2"/>
      <c r="Q98" s="2"/>
      <c r="Z98" s="64"/>
      <c r="AA98" s="64"/>
      <c r="AB98" s="2"/>
    </row>
    <row r="99" spans="1:28" ht="16.5" x14ac:dyDescent="0.25">
      <c r="A99" s="77"/>
      <c r="B99" s="74"/>
      <c r="C99" s="2"/>
      <c r="D99" s="2"/>
      <c r="E99" s="2"/>
      <c r="F99" s="2"/>
      <c r="J99" s="78"/>
      <c r="K99" s="84"/>
      <c r="O99" s="2"/>
      <c r="Q99" s="2"/>
      <c r="Z99" s="64"/>
      <c r="AA99" s="64"/>
      <c r="AB99" s="2"/>
    </row>
    <row r="100" spans="1:28" ht="16.5" x14ac:dyDescent="0.25">
      <c r="A100" s="78"/>
      <c r="B100" s="74"/>
      <c r="C100" s="2"/>
      <c r="D100" s="2"/>
      <c r="E100" s="2"/>
      <c r="F100" s="2"/>
      <c r="J100" s="78"/>
      <c r="K100" s="84"/>
      <c r="O100" s="2"/>
      <c r="Q100" s="2"/>
      <c r="Z100" s="64"/>
      <c r="AA100" s="64"/>
      <c r="AB100" s="2"/>
    </row>
    <row r="101" spans="1:28" ht="16.5" x14ac:dyDescent="0.25">
      <c r="A101" s="78"/>
      <c r="B101" s="74"/>
      <c r="C101" s="2"/>
      <c r="D101" s="2"/>
      <c r="E101" s="2"/>
      <c r="F101" s="2"/>
      <c r="J101" s="78"/>
      <c r="K101" s="84"/>
      <c r="O101" s="2"/>
      <c r="Q101" s="2"/>
      <c r="Z101" s="64"/>
      <c r="AA101" s="64"/>
      <c r="AB101" s="2"/>
    </row>
    <row r="102" spans="1:28" ht="16.5" x14ac:dyDescent="0.25">
      <c r="A102" s="78"/>
      <c r="B102" s="74"/>
      <c r="C102" s="2"/>
      <c r="D102" s="2"/>
      <c r="E102" s="2"/>
      <c r="F102" s="2"/>
      <c r="J102" s="78"/>
      <c r="K102" s="84"/>
      <c r="O102" s="2"/>
      <c r="Q102" s="2"/>
      <c r="Z102" s="64"/>
      <c r="AA102" s="64"/>
      <c r="AB102" s="2"/>
    </row>
    <row r="103" spans="1:28" ht="16.5" x14ac:dyDescent="0.25">
      <c r="A103" s="78"/>
      <c r="B103" s="74"/>
      <c r="C103" s="2"/>
      <c r="D103" s="2"/>
      <c r="E103" s="2"/>
      <c r="F103" s="2"/>
      <c r="J103" s="78"/>
      <c r="K103" s="84"/>
      <c r="O103" s="2"/>
      <c r="Q103" s="2"/>
      <c r="Z103" s="64"/>
      <c r="AA103" s="64"/>
      <c r="AB103" s="2"/>
    </row>
    <row r="104" spans="1:28" ht="16.5" x14ac:dyDescent="0.25">
      <c r="A104" s="78"/>
      <c r="B104" s="74"/>
      <c r="C104" s="2"/>
      <c r="D104" s="2"/>
      <c r="E104" s="2"/>
      <c r="F104" s="2"/>
      <c r="J104" s="78"/>
      <c r="K104" s="84"/>
      <c r="O104" s="2"/>
      <c r="Q104" s="2"/>
      <c r="Z104" s="64"/>
      <c r="AA104" s="64"/>
      <c r="AB104" s="2"/>
    </row>
    <row r="105" spans="1:28" ht="16.5" x14ac:dyDescent="0.25">
      <c r="B105" s="74"/>
      <c r="C105" s="2"/>
      <c r="D105" s="2"/>
      <c r="E105" s="2"/>
      <c r="F105" s="2"/>
      <c r="K105" s="84"/>
      <c r="O105" s="2"/>
      <c r="Q105" s="2"/>
      <c r="Z105" s="64"/>
      <c r="AA105" s="64"/>
      <c r="AB105" s="2"/>
    </row>
    <row r="106" spans="1:28" ht="16.5" x14ac:dyDescent="0.25">
      <c r="B106" s="74"/>
      <c r="C106" s="2"/>
      <c r="D106" s="2"/>
      <c r="E106" s="2"/>
      <c r="F106" s="2"/>
      <c r="K106" s="84"/>
      <c r="O106" s="2"/>
      <c r="Q106" s="2"/>
      <c r="Z106" s="64"/>
      <c r="AA106" s="64"/>
      <c r="AB106" s="2"/>
    </row>
    <row r="107" spans="1:28" ht="16.5" x14ac:dyDescent="0.25">
      <c r="B107" s="74"/>
      <c r="C107" s="2"/>
      <c r="D107" s="2"/>
      <c r="E107" s="2"/>
      <c r="F107" s="2"/>
      <c r="K107" s="84"/>
      <c r="O107" s="2"/>
      <c r="Q107" s="2"/>
      <c r="Z107" s="64"/>
      <c r="AA107" s="64"/>
      <c r="AB107" s="2"/>
    </row>
    <row r="108" spans="1:28" ht="16.5" x14ac:dyDescent="0.25">
      <c r="B108" s="74"/>
      <c r="C108" s="2"/>
      <c r="D108" s="2"/>
      <c r="E108" s="2"/>
      <c r="F108" s="2"/>
      <c r="K108" s="84"/>
      <c r="O108" s="2"/>
      <c r="Q108" s="2"/>
      <c r="Z108" s="64"/>
      <c r="AA108" s="64"/>
      <c r="AB108" s="2"/>
    </row>
  </sheetData>
  <autoFilter ref="A5:AB99" xr:uid="{00000000-0009-0000-0000-000004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B242C-015B-464B-B250-631B15F41997}">
  <dimension ref="B9:E36"/>
  <sheetViews>
    <sheetView tabSelected="1" topLeftCell="A30" workbookViewId="0">
      <selection activeCell="E37" sqref="E37"/>
    </sheetView>
  </sheetViews>
  <sheetFormatPr defaultRowHeight="15" x14ac:dyDescent="0.25"/>
  <cols>
    <col min="4" max="4" width="24.140625" customWidth="1"/>
  </cols>
  <sheetData>
    <row r="9" spans="2:5" ht="30" x14ac:dyDescent="0.25">
      <c r="B9" s="1" t="s">
        <v>33</v>
      </c>
      <c r="C9" s="3">
        <v>-1</v>
      </c>
      <c r="D9" s="4" t="s">
        <v>59</v>
      </c>
      <c r="E9" t="s">
        <v>86</v>
      </c>
    </row>
    <row r="10" spans="2:5" ht="38.25" x14ac:dyDescent="0.25">
      <c r="B10" s="1" t="s">
        <v>34</v>
      </c>
      <c r="C10" s="3">
        <v>-2</v>
      </c>
      <c r="D10" s="4" t="s">
        <v>59</v>
      </c>
      <c r="E10" t="s">
        <v>86</v>
      </c>
    </row>
    <row r="11" spans="2:5" ht="51" x14ac:dyDescent="0.25">
      <c r="B11" s="1" t="s">
        <v>35</v>
      </c>
      <c r="C11" s="3">
        <v>-3</v>
      </c>
      <c r="D11" s="4" t="s">
        <v>60</v>
      </c>
      <c r="E11" t="s">
        <v>87</v>
      </c>
    </row>
    <row r="12" spans="2:5" ht="51" x14ac:dyDescent="0.25">
      <c r="B12" s="1" t="s">
        <v>36</v>
      </c>
      <c r="C12" s="3">
        <v>-4</v>
      </c>
      <c r="D12" s="4" t="s">
        <v>61</v>
      </c>
      <c r="E12" t="s">
        <v>88</v>
      </c>
    </row>
    <row r="13" spans="2:5" ht="51" x14ac:dyDescent="0.25">
      <c r="B13" s="1" t="s">
        <v>37</v>
      </c>
      <c r="C13" s="3">
        <v>-5</v>
      </c>
      <c r="D13" s="4" t="s">
        <v>62</v>
      </c>
      <c r="E13" t="s">
        <v>89</v>
      </c>
    </row>
    <row r="14" spans="2:5" ht="165" x14ac:dyDescent="0.25">
      <c r="B14" s="1" t="s">
        <v>38</v>
      </c>
      <c r="C14" s="3">
        <v>-6</v>
      </c>
      <c r="D14" s="4" t="s">
        <v>63</v>
      </c>
      <c r="E14" t="s">
        <v>90</v>
      </c>
    </row>
    <row r="15" spans="2:5" ht="25.5" x14ac:dyDescent="0.25">
      <c r="B15" s="1" t="s">
        <v>39</v>
      </c>
      <c r="C15" s="3">
        <v>-7</v>
      </c>
      <c r="D15" s="4" t="s">
        <v>64</v>
      </c>
    </row>
    <row r="16" spans="2:5" ht="63.75" x14ac:dyDescent="0.25">
      <c r="B16" s="1" t="s">
        <v>7</v>
      </c>
      <c r="C16" s="3">
        <v>-8</v>
      </c>
      <c r="D16" s="4" t="s">
        <v>65</v>
      </c>
    </row>
    <row r="17" spans="2:5" ht="30" x14ac:dyDescent="0.25">
      <c r="B17" s="1" t="s">
        <v>40</v>
      </c>
      <c r="C17" s="3">
        <v>-9</v>
      </c>
      <c r="D17" s="4" t="s">
        <v>66</v>
      </c>
    </row>
    <row r="18" spans="2:5" ht="25.5" x14ac:dyDescent="0.25">
      <c r="B18" s="1" t="s">
        <v>41</v>
      </c>
      <c r="C18" s="3">
        <v>-10</v>
      </c>
      <c r="D18" s="4" t="s">
        <v>64</v>
      </c>
      <c r="E18" t="s">
        <v>91</v>
      </c>
    </row>
    <row r="19" spans="2:5" ht="25.5" x14ac:dyDescent="0.25">
      <c r="B19" s="1" t="s">
        <v>42</v>
      </c>
      <c r="C19" s="3">
        <v>-11</v>
      </c>
      <c r="D19" s="5" t="s">
        <v>64</v>
      </c>
      <c r="E19" t="s">
        <v>92</v>
      </c>
    </row>
    <row r="20" spans="2:5" x14ac:dyDescent="0.25">
      <c r="B20" s="1" t="s">
        <v>43</v>
      </c>
      <c r="C20" s="3">
        <v>-12</v>
      </c>
      <c r="D20" s="4" t="s">
        <v>67</v>
      </c>
    </row>
    <row r="21" spans="2:5" ht="38.25" x14ac:dyDescent="0.25">
      <c r="B21" s="1" t="s">
        <v>44</v>
      </c>
      <c r="C21" s="3">
        <v>-13</v>
      </c>
      <c r="D21" s="4" t="s">
        <v>64</v>
      </c>
      <c r="E21" t="s">
        <v>93</v>
      </c>
    </row>
    <row r="22" spans="2:5" ht="25.5" x14ac:dyDescent="0.25">
      <c r="B22" s="1" t="s">
        <v>45</v>
      </c>
      <c r="C22" s="3">
        <v>-14</v>
      </c>
      <c r="D22" s="4" t="s">
        <v>64</v>
      </c>
      <c r="E22" t="s">
        <v>94</v>
      </c>
    </row>
    <row r="23" spans="2:5" ht="30" x14ac:dyDescent="0.25">
      <c r="B23" s="1" t="s">
        <v>46</v>
      </c>
      <c r="C23" s="3">
        <v>-15</v>
      </c>
      <c r="D23" s="4" t="s">
        <v>68</v>
      </c>
      <c r="E23" t="s">
        <v>95</v>
      </c>
    </row>
    <row r="24" spans="2:5" ht="63.75" x14ac:dyDescent="0.25">
      <c r="B24" s="1" t="s">
        <v>47</v>
      </c>
      <c r="C24" s="3">
        <v>-16</v>
      </c>
      <c r="D24" s="4" t="s">
        <v>69</v>
      </c>
    </row>
    <row r="25" spans="2:5" ht="51" x14ac:dyDescent="0.25">
      <c r="B25" s="1" t="s">
        <v>37</v>
      </c>
      <c r="C25" s="3">
        <v>-17</v>
      </c>
      <c r="D25" s="4" t="s">
        <v>70</v>
      </c>
      <c r="E25" t="s">
        <v>96</v>
      </c>
    </row>
    <row r="26" spans="2:5" ht="25.5" x14ac:dyDescent="0.25">
      <c r="B26" s="1" t="s">
        <v>48</v>
      </c>
      <c r="C26" s="3">
        <v>-18</v>
      </c>
      <c r="D26" s="4" t="s">
        <v>64</v>
      </c>
    </row>
    <row r="27" spans="2:5" ht="51" x14ac:dyDescent="0.25">
      <c r="B27" s="1" t="s">
        <v>49</v>
      </c>
      <c r="C27" s="3">
        <v>-19</v>
      </c>
      <c r="D27" s="4" t="s">
        <v>71</v>
      </c>
    </row>
    <row r="28" spans="2:5" ht="30" x14ac:dyDescent="0.25">
      <c r="B28" s="1" t="s">
        <v>50</v>
      </c>
      <c r="C28" s="3">
        <v>-20</v>
      </c>
      <c r="D28" s="4" t="s">
        <v>72</v>
      </c>
    </row>
    <row r="29" spans="2:5" ht="25.5" x14ac:dyDescent="0.25">
      <c r="B29" s="1" t="s">
        <v>51</v>
      </c>
      <c r="C29" s="3">
        <v>-21</v>
      </c>
      <c r="D29" s="4" t="s">
        <v>73</v>
      </c>
    </row>
    <row r="30" spans="2:5" ht="51" x14ac:dyDescent="0.25">
      <c r="B30" s="1" t="s">
        <v>52</v>
      </c>
      <c r="C30" s="3">
        <v>-22</v>
      </c>
      <c r="D30" s="4" t="s">
        <v>74</v>
      </c>
    </row>
    <row r="31" spans="2:5" ht="30" x14ac:dyDescent="0.25">
      <c r="B31" s="1" t="s">
        <v>53</v>
      </c>
      <c r="C31" s="3">
        <v>-23</v>
      </c>
      <c r="D31" s="4" t="s">
        <v>75</v>
      </c>
    </row>
    <row r="32" spans="2:5" ht="25.5" x14ac:dyDescent="0.25">
      <c r="B32" s="1" t="s">
        <v>54</v>
      </c>
      <c r="C32" s="3">
        <v>-24</v>
      </c>
      <c r="D32" s="4" t="s">
        <v>76</v>
      </c>
    </row>
    <row r="33" spans="2:5" ht="25.5" x14ac:dyDescent="0.25">
      <c r="B33" s="1" t="s">
        <v>55</v>
      </c>
      <c r="C33" s="3">
        <v>-25</v>
      </c>
      <c r="D33" s="4" t="s">
        <v>76</v>
      </c>
    </row>
    <row r="34" spans="2:5" ht="89.25" x14ac:dyDescent="0.25">
      <c r="B34" s="1" t="s">
        <v>56</v>
      </c>
      <c r="C34" s="3">
        <v>-26</v>
      </c>
      <c r="D34" s="4" t="s">
        <v>77</v>
      </c>
      <c r="E34" t="s">
        <v>97</v>
      </c>
    </row>
    <row r="35" spans="2:5" ht="89.25" x14ac:dyDescent="0.25">
      <c r="B35" s="1" t="s">
        <v>57</v>
      </c>
      <c r="C35" s="3">
        <v>-27</v>
      </c>
      <c r="D35" s="4" t="s">
        <v>77</v>
      </c>
      <c r="E35" t="s">
        <v>98</v>
      </c>
    </row>
    <row r="36" spans="2:5" ht="89.25" x14ac:dyDescent="0.25">
      <c r="B36" s="1" t="s">
        <v>58</v>
      </c>
      <c r="C36" s="3">
        <v>-28</v>
      </c>
      <c r="D36" s="4" t="s">
        <v>77</v>
      </c>
      <c r="E36" t="s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81FB3-689B-4009-A300-6ED6D8E155D4}">
  <dimension ref="C8:E21"/>
  <sheetViews>
    <sheetView workbookViewId="0">
      <selection activeCell="L22" sqref="L22"/>
    </sheetView>
  </sheetViews>
  <sheetFormatPr defaultRowHeight="15" x14ac:dyDescent="0.25"/>
  <cols>
    <col min="3" max="3" width="18.5703125" bestFit="1" customWidth="1"/>
  </cols>
  <sheetData>
    <row r="8" spans="3:5" ht="38.25" x14ac:dyDescent="0.25">
      <c r="D8" s="1" t="s">
        <v>25</v>
      </c>
      <c r="E8" s="1" t="s">
        <v>26</v>
      </c>
    </row>
    <row r="9" spans="3:5" ht="16.5" x14ac:dyDescent="0.25">
      <c r="C9" s="85" t="s">
        <v>99</v>
      </c>
      <c r="D9" s="64">
        <v>2329</v>
      </c>
      <c r="E9" s="64">
        <v>1000</v>
      </c>
    </row>
    <row r="10" spans="3:5" ht="16.5" x14ac:dyDescent="0.25">
      <c r="C10" s="86" t="s">
        <v>100</v>
      </c>
      <c r="D10" s="64">
        <v>1048</v>
      </c>
      <c r="E10" s="64">
        <v>2025</v>
      </c>
    </row>
    <row r="11" spans="3:5" ht="16.5" x14ac:dyDescent="0.25">
      <c r="C11" s="85" t="s">
        <v>101</v>
      </c>
      <c r="D11" s="64">
        <v>1035</v>
      </c>
      <c r="E11" s="64">
        <v>2007</v>
      </c>
    </row>
    <row r="12" spans="3:5" ht="16.5" x14ac:dyDescent="0.25">
      <c r="C12" s="86" t="s">
        <v>102</v>
      </c>
      <c r="D12" s="87">
        <v>1040</v>
      </c>
      <c r="E12" s="87">
        <v>2017</v>
      </c>
    </row>
    <row r="13" spans="3:5" ht="16.5" x14ac:dyDescent="0.25">
      <c r="C13" s="85" t="s">
        <v>103</v>
      </c>
      <c r="D13" s="64">
        <v>2228</v>
      </c>
      <c r="E13" s="64">
        <v>2001</v>
      </c>
    </row>
    <row r="14" spans="3:5" ht="16.5" x14ac:dyDescent="0.25">
      <c r="C14" s="86" t="s">
        <v>104</v>
      </c>
      <c r="D14" s="88">
        <v>1052</v>
      </c>
      <c r="E14" s="88">
        <v>2049</v>
      </c>
    </row>
    <row r="15" spans="3:5" ht="16.5" x14ac:dyDescent="0.25">
      <c r="C15" s="85" t="s">
        <v>105</v>
      </c>
      <c r="D15" s="88">
        <v>1052</v>
      </c>
      <c r="E15" s="88">
        <v>2044</v>
      </c>
    </row>
    <row r="16" spans="3:5" ht="16.5" x14ac:dyDescent="0.25">
      <c r="C16" s="86" t="s">
        <v>106</v>
      </c>
      <c r="D16" s="87">
        <v>1038</v>
      </c>
      <c r="E16" s="87">
        <v>2013</v>
      </c>
    </row>
    <row r="17" spans="3:5" ht="16.5" x14ac:dyDescent="0.25">
      <c r="C17" s="85" t="s">
        <v>107</v>
      </c>
      <c r="D17" s="64">
        <v>1983</v>
      </c>
      <c r="E17" s="64">
        <v>2202</v>
      </c>
    </row>
    <row r="18" spans="3:5" ht="16.5" x14ac:dyDescent="0.25">
      <c r="C18" s="86" t="s">
        <v>108</v>
      </c>
      <c r="D18" s="89">
        <v>2218</v>
      </c>
      <c r="E18" s="89">
        <v>2025</v>
      </c>
    </row>
    <row r="19" spans="3:5" ht="16.5" x14ac:dyDescent="0.25">
      <c r="C19" s="85" t="s">
        <v>109</v>
      </c>
      <c r="D19" s="64">
        <v>1050</v>
      </c>
      <c r="E19" s="64">
        <v>2037</v>
      </c>
    </row>
    <row r="20" spans="3:5" ht="16.5" x14ac:dyDescent="0.25">
      <c r="C20" s="86" t="s">
        <v>110</v>
      </c>
      <c r="D20" s="64">
        <v>1050</v>
      </c>
      <c r="E20" s="64">
        <v>2036</v>
      </c>
    </row>
    <row r="21" spans="3:5" ht="16.5" x14ac:dyDescent="0.25">
      <c r="C21" s="85" t="s">
        <v>111</v>
      </c>
      <c r="D21" s="64">
        <v>2255</v>
      </c>
      <c r="E21" s="64">
        <v>2001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file đc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Khoa, Huynh Dang (SHE.BNC)</dc:creator>
  <cp:lastModifiedBy>Khoa, Huynh Dang (SHE.BNC)</cp:lastModifiedBy>
  <dcterms:created xsi:type="dcterms:W3CDTF">2026-08-27T13:36:42Z</dcterms:created>
  <dcterms:modified xsi:type="dcterms:W3CDTF">2026-08-27T13:59:11Z</dcterms:modified>
</cp:coreProperties>
</file>